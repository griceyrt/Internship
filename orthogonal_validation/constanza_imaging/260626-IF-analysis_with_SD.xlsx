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gricey/Desktop/Internship/orthogonal_validation/constanza_imaging/"/>
    </mc:Choice>
  </mc:AlternateContent>
  <xr:revisionPtr revIDLastSave="0" documentId="13_ncr:1_{D1F01D21-6887-C347-82AD-AABEBCFD3865}" xr6:coauthVersionLast="47" xr6:coauthVersionMax="47" xr10:uidLastSave="{00000000-0000-0000-0000-000000000000}"/>
  <bookViews>
    <workbookView xWindow="0" yWindow="660" windowWidth="30240" windowHeight="17300" xr2:uid="{00000000-000D-0000-FFFF-FFFF00000000}"/>
  </bookViews>
  <sheets>
    <sheet name="PER2vsSRSF3" sheetId="1" r:id="rId1"/>
    <sheet name="PER2vsSC35" sheetId="2" r:id="rId2"/>
    <sheet name="SC35vsSRSF3" sheetId="3" r:id="rId3"/>
    <sheet name="Nuclei-PER2-SRSF3mouse" sheetId="4" r:id="rId4"/>
    <sheet name="U2OS-HA-SRSF3-Mutan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1" i="4" l="1"/>
  <c r="AA21" i="4"/>
  <c r="AB20" i="4"/>
  <c r="AA20" i="4"/>
  <c r="AB19" i="4"/>
  <c r="AA19" i="4"/>
  <c r="AB18" i="4"/>
  <c r="AA18" i="4"/>
  <c r="AB17" i="4"/>
  <c r="AA17" i="4"/>
  <c r="AB16" i="4"/>
  <c r="AA16" i="4"/>
  <c r="M9" i="4"/>
  <c r="M8" i="4"/>
  <c r="M7" i="4"/>
  <c r="M6" i="4"/>
  <c r="M5" i="4"/>
  <c r="M4" i="4"/>
  <c r="I21" i="3"/>
  <c r="H21" i="3"/>
  <c r="I20" i="3"/>
  <c r="H20" i="3"/>
  <c r="I19" i="3"/>
  <c r="H19" i="3"/>
  <c r="I18" i="3"/>
  <c r="H18" i="3"/>
  <c r="I17" i="3"/>
  <c r="H17" i="3"/>
  <c r="I16" i="3"/>
  <c r="H16" i="3"/>
  <c r="AD10" i="3"/>
  <c r="AC10" i="3"/>
  <c r="AD9" i="3"/>
  <c r="AC9" i="3"/>
  <c r="AD8" i="3"/>
  <c r="AC8" i="3"/>
  <c r="AD7" i="3"/>
  <c r="AC7" i="3"/>
  <c r="AD6" i="3"/>
  <c r="AC6" i="3"/>
  <c r="AD5" i="3"/>
  <c r="AC5" i="3"/>
  <c r="I21" i="2"/>
  <c r="H21" i="2"/>
  <c r="I20" i="2"/>
  <c r="H20" i="2"/>
  <c r="I19" i="2"/>
  <c r="H19" i="2"/>
  <c r="I18" i="2"/>
  <c r="H18" i="2"/>
  <c r="I17" i="2"/>
  <c r="H17" i="2"/>
  <c r="I16" i="2"/>
  <c r="H16" i="2"/>
  <c r="AD10" i="2"/>
  <c r="AC10" i="2"/>
  <c r="AD9" i="2"/>
  <c r="AC9" i="2"/>
  <c r="AD8" i="2"/>
  <c r="AC8" i="2"/>
  <c r="AD7" i="2"/>
  <c r="AC7" i="2"/>
  <c r="AD6" i="2"/>
  <c r="AC6" i="2"/>
  <c r="AD5" i="2"/>
  <c r="AC5" i="2"/>
  <c r="I20" i="1"/>
  <c r="H20" i="1"/>
  <c r="I19" i="1"/>
  <c r="H19" i="1"/>
  <c r="I18" i="1"/>
  <c r="H18" i="1"/>
  <c r="I17" i="1"/>
  <c r="H17" i="1"/>
  <c r="I16" i="1"/>
  <c r="H16" i="1"/>
  <c r="I15" i="1"/>
  <c r="H15" i="1"/>
  <c r="AD10" i="1"/>
  <c r="AC10" i="1"/>
  <c r="AD9" i="1"/>
  <c r="AC9" i="1"/>
  <c r="AD8" i="1"/>
  <c r="AC8" i="1"/>
  <c r="AD7" i="1"/>
  <c r="AC7" i="1"/>
  <c r="AD6" i="1"/>
  <c r="AC6" i="1"/>
  <c r="AD5" i="1"/>
  <c r="AC5" i="1"/>
</calcChain>
</file>

<file path=xl/sharedStrings.xml><?xml version="1.0" encoding="utf-8"?>
<sst xmlns="http://schemas.openxmlformats.org/spreadsheetml/2006/main" count="214" uniqueCount="57">
  <si>
    <t>Recap PER2 vs SRSF3 / Hepg2 cells PER2-GFP + SRSF3 endogenous</t>
  </si>
  <si>
    <t>Cell number</t>
  </si>
  <si>
    <t>Average</t>
  </si>
  <si>
    <t>SD</t>
  </si>
  <si>
    <t>Pearson's R</t>
  </si>
  <si>
    <t>Spearman's ρ</t>
  </si>
  <si>
    <t>Li's ICQ</t>
  </si>
  <si>
    <t>Costes P-value</t>
  </si>
  <si>
    <t>tM1</t>
  </si>
  <si>
    <t>tM2</t>
  </si>
  <si>
    <t>N1</t>
  </si>
  <si>
    <t>N2</t>
  </si>
  <si>
    <t>N3</t>
  </si>
  <si>
    <t>N4</t>
  </si>
  <si>
    <t>Recap PER2 vs SRSF3 / Hepg2 cells PER2-GFP + HA-SRSF3 overexp</t>
  </si>
  <si>
    <t>Recap PER2 vs SC35 / Hepg2 cells PER2-GFP + SRSF3 endogenous</t>
  </si>
  <si>
    <t>0.36</t>
  </si>
  <si>
    <t>0.24</t>
  </si>
  <si>
    <t>0.76</t>
  </si>
  <si>
    <t>0.69</t>
  </si>
  <si>
    <t>0.272</t>
  </si>
  <si>
    <t>0.165</t>
  </si>
  <si>
    <t>1.00</t>
  </si>
  <si>
    <t>0.706</t>
  </si>
  <si>
    <t>0.321</t>
  </si>
  <si>
    <t>0.740</t>
  </si>
  <si>
    <t>0.659</t>
  </si>
  <si>
    <t>Recap PER2 vs SC35 / Hepg2 cells PER2-GFP + HA-SRSF3 overexp</t>
  </si>
  <si>
    <t>Recap SC35 vs SRSF3 / Hepg2 cells PER2-GFP + SRSF3 endogenous</t>
  </si>
  <si>
    <t>0.51</t>
  </si>
  <si>
    <t>0.44</t>
  </si>
  <si>
    <t>0.83</t>
  </si>
  <si>
    <t>0.77</t>
  </si>
  <si>
    <t>0.276</t>
  </si>
  <si>
    <t>0.163</t>
  </si>
  <si>
    <t>0.182</t>
  </si>
  <si>
    <t>0.001</t>
  </si>
  <si>
    <t>0.107</t>
  </si>
  <si>
    <t>0.076</t>
  </si>
  <si>
    <t>Recap SC35 vs SRSF3 / Hepg2 cells PER2-GFP + HA-SRSF3 overexp</t>
  </si>
  <si>
    <t>Recap PER2 vs SRSF3 / Nuclei CT20 Z=1</t>
  </si>
  <si>
    <t>Nuclei number</t>
  </si>
  <si>
    <t>Recap PER2 vs SRSF3 / Nuclei CT20 Z=3</t>
  </si>
  <si>
    <t>SRSF3 mouse 1/200</t>
  </si>
  <si>
    <t>SRSF3 mouse 1/50</t>
  </si>
  <si>
    <t xml:space="preserve"> PER2 vs SRSF3 / U2OS cells PER2-GFP + HA-SRSF3 WT</t>
  </si>
  <si>
    <t xml:space="preserve"> PER2 vs SRSF3 / U2OS cells PER2-GFP + HA-SRSF3 P92-94G</t>
  </si>
  <si>
    <t xml:space="preserve"> PER2 vs SRSF3 / U2OS cells PER2-GFP + HA-SRSF3 P109-111G</t>
  </si>
  <si>
    <t xml:space="preserve"> PER2 vs SRSF3 / U2OS cells PER2-GFP + HA-SRSF3 P92-94G/P109-111G</t>
  </si>
  <si>
    <t xml:space="preserve"> PER2 vs SC35 / U2OS cells PER2-GFP + HA-SRSF3 WT</t>
  </si>
  <si>
    <t xml:space="preserve"> PER2 vs SC35 / U2OS cells PER2-GFP + HA-SRSF3 P92-94G</t>
  </si>
  <si>
    <t xml:space="preserve"> PER2 vs SC35 / U2OS cells PER2-GFP + HA-SRSF3 P109-111G</t>
  </si>
  <si>
    <t xml:space="preserve"> PER2 vs SC35 / U2OS cells PER2-GFP + HA-SRSF3 P92-94G/P109-111G</t>
  </si>
  <si>
    <t>SC35 vs SRSF3 / U2OS cells PER2-GFP + HA-SRSF3 WT</t>
  </si>
  <si>
    <t>SC35 vs SRSF3 / U2OS cells PER2-GFP + HA-SRSF3 P92-94G</t>
  </si>
  <si>
    <t>SC35 vs SRSF3 / U2OS cells PER2-GFP + HA-SRSF3 P109-111G</t>
  </si>
  <si>
    <t>SC35 vs SRSF3 / U2OS cells PER2-GFP + HA-SRSF3 P92-94G/P109-111G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</si>
</sst>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0" xfId="0" applyNumberFormat="1"/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3" xfId="0" applyBorder="1"/>
    <xf numFmtId="2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5" borderId="1" xfId="0" applyFill="1" applyBorder="1"/>
    <xf numFmtId="0" fontId="1" fillId="5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D21"/>
  <sheetViews>
    <sheetView tabSelected="1" zoomScale="88" zoomScaleNormal="88" workbookViewId="0">
      <selection activeCell="F40" sqref="F40"/>
    </sheetView>
  </sheetViews>
  <sheetFormatPr baseColWidth="10" defaultRowHeight="15" x14ac:dyDescent="0.2"/>
  <cols>
    <col min="1" max="1" width="13.83203125" customWidth="1"/>
  </cols>
  <sheetData>
    <row r="3" spans="1:30" x14ac:dyDescent="0.2">
      <c r="A3" s="28" t="s">
        <v>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7"/>
    </row>
    <row r="4" spans="1:30" x14ac:dyDescent="0.2">
      <c r="A4" s="2" t="s">
        <v>1</v>
      </c>
      <c r="B4" s="16">
        <v>1</v>
      </c>
      <c r="C4" s="16">
        <v>2</v>
      </c>
      <c r="D4" s="20">
        <v>3</v>
      </c>
      <c r="E4" s="16">
        <v>4</v>
      </c>
      <c r="F4" s="16">
        <v>5</v>
      </c>
      <c r="G4" s="16">
        <v>6</v>
      </c>
      <c r="H4" s="16">
        <v>7</v>
      </c>
      <c r="I4" s="21">
        <v>8</v>
      </c>
      <c r="J4" s="21">
        <v>9</v>
      </c>
      <c r="K4" s="21">
        <v>10</v>
      </c>
      <c r="L4" s="21">
        <v>11</v>
      </c>
      <c r="M4" s="22">
        <v>12</v>
      </c>
      <c r="N4" s="22">
        <v>13</v>
      </c>
      <c r="O4" s="22">
        <v>14</v>
      </c>
      <c r="P4" s="22">
        <v>15</v>
      </c>
      <c r="Q4" s="23">
        <v>16</v>
      </c>
      <c r="R4" s="23">
        <v>17</v>
      </c>
      <c r="S4" s="23">
        <v>18</v>
      </c>
      <c r="T4" s="23">
        <v>19</v>
      </c>
      <c r="U4" s="23">
        <v>20</v>
      </c>
      <c r="V4" s="23">
        <v>21</v>
      </c>
      <c r="W4" s="23">
        <v>22</v>
      </c>
      <c r="X4" s="23">
        <v>23</v>
      </c>
      <c r="Y4" s="23">
        <v>24</v>
      </c>
      <c r="Z4" s="23">
        <v>25</v>
      </c>
      <c r="AA4" s="23">
        <v>26</v>
      </c>
      <c r="AB4" s="23">
        <v>27</v>
      </c>
      <c r="AC4" s="3" t="s">
        <v>2</v>
      </c>
      <c r="AD4" s="3" t="s">
        <v>3</v>
      </c>
    </row>
    <row r="5" spans="1:30" x14ac:dyDescent="0.2">
      <c r="A5" s="1" t="s">
        <v>4</v>
      </c>
      <c r="B5" s="1">
        <v>0.79</v>
      </c>
      <c r="C5" s="1">
        <v>0.75</v>
      </c>
      <c r="D5" s="8">
        <v>0.33</v>
      </c>
      <c r="E5" s="1">
        <v>0.79</v>
      </c>
      <c r="F5" s="1">
        <v>0.46</v>
      </c>
      <c r="G5" s="1">
        <v>0.76</v>
      </c>
      <c r="H5" s="1">
        <v>0.7</v>
      </c>
      <c r="I5" s="13">
        <v>0.66</v>
      </c>
      <c r="J5" s="13">
        <v>0.74</v>
      </c>
      <c r="K5" s="13">
        <v>0.71</v>
      </c>
      <c r="L5" s="13">
        <v>0.57999999999999996</v>
      </c>
      <c r="M5" s="14">
        <v>0.64</v>
      </c>
      <c r="N5" s="14">
        <v>0.75</v>
      </c>
      <c r="O5" s="14">
        <v>0.64</v>
      </c>
      <c r="P5" s="14">
        <v>0.77</v>
      </c>
      <c r="Q5" s="18">
        <v>0.68</v>
      </c>
      <c r="R5" s="18">
        <v>0.64</v>
      </c>
      <c r="S5" s="18">
        <v>0.72</v>
      </c>
      <c r="T5" s="18">
        <v>0.7</v>
      </c>
      <c r="U5" s="18">
        <v>0.77</v>
      </c>
      <c r="V5" s="18">
        <v>0.77</v>
      </c>
      <c r="W5" s="18">
        <v>0.55000000000000004</v>
      </c>
      <c r="X5" s="18">
        <v>0.62</v>
      </c>
      <c r="Y5" s="18">
        <v>0.76</v>
      </c>
      <c r="Z5" s="18">
        <v>0.81</v>
      </c>
      <c r="AA5" s="18">
        <v>0.79</v>
      </c>
      <c r="AB5" s="18">
        <v>0.55000000000000004</v>
      </c>
      <c r="AC5" s="11">
        <f t="shared" ref="AC5:AC10" si="0">AVERAGE(B5:C5,E5:AB5)</f>
        <v>0.69615384615384612</v>
      </c>
      <c r="AD5" s="5">
        <f t="shared" ref="AD5:AD10" si="1">STDEV(B5:C5,E5:AB5)</f>
        <v>8.971407573293981E-2</v>
      </c>
    </row>
    <row r="6" spans="1:30" x14ac:dyDescent="0.2">
      <c r="A6" s="1" t="s">
        <v>5</v>
      </c>
      <c r="B6" s="1">
        <v>0.84499999999999997</v>
      </c>
      <c r="C6" s="1">
        <v>0.74</v>
      </c>
      <c r="D6" s="8">
        <v>0.41</v>
      </c>
      <c r="E6" s="1">
        <v>0.81399999999999995</v>
      </c>
      <c r="F6" s="1">
        <v>0.54</v>
      </c>
      <c r="G6" s="1">
        <v>0.81299999999999994</v>
      </c>
      <c r="H6" s="1">
        <v>0.7</v>
      </c>
      <c r="I6" s="13">
        <v>0.85</v>
      </c>
      <c r="J6" s="13">
        <v>0.85</v>
      </c>
      <c r="K6" s="13">
        <v>0.879</v>
      </c>
      <c r="L6" s="13">
        <v>0.67800000000000005</v>
      </c>
      <c r="M6" s="14">
        <v>0.7</v>
      </c>
      <c r="N6" s="14">
        <v>0.83</v>
      </c>
      <c r="O6" s="14">
        <v>0.67</v>
      </c>
      <c r="P6" s="14">
        <v>0.8</v>
      </c>
      <c r="Q6" s="18">
        <v>0.73</v>
      </c>
      <c r="R6" s="18">
        <v>0.79900000000000004</v>
      </c>
      <c r="S6" s="18">
        <v>0.86699999999999999</v>
      </c>
      <c r="T6" s="18">
        <v>0.82</v>
      </c>
      <c r="U6" s="18">
        <v>0.83</v>
      </c>
      <c r="V6" s="18">
        <v>0.86</v>
      </c>
      <c r="W6" s="18">
        <v>0.7</v>
      </c>
      <c r="X6" s="18">
        <v>0.79700000000000004</v>
      </c>
      <c r="Y6" s="18">
        <v>0.82799999999999996</v>
      </c>
      <c r="Z6" s="18">
        <v>0.879</v>
      </c>
      <c r="AA6" s="18">
        <v>0.85299999999999998</v>
      </c>
      <c r="AB6" s="18">
        <v>0.57999999999999996</v>
      </c>
      <c r="AC6" s="11">
        <f t="shared" si="0"/>
        <v>0.77892307692307705</v>
      </c>
      <c r="AD6" s="5">
        <f t="shared" si="1"/>
        <v>9.1323128758018707E-2</v>
      </c>
    </row>
    <row r="7" spans="1:30" x14ac:dyDescent="0.2">
      <c r="A7" s="1" t="s">
        <v>6</v>
      </c>
      <c r="B7" s="1">
        <v>0.32200000000000001</v>
      </c>
      <c r="C7" s="1">
        <v>0.311</v>
      </c>
      <c r="D7" s="8">
        <v>0.13700000000000001</v>
      </c>
      <c r="E7" s="1">
        <v>0.33800000000000002</v>
      </c>
      <c r="F7" s="1">
        <v>0.222</v>
      </c>
      <c r="G7" s="1">
        <v>0.33600000000000002</v>
      </c>
      <c r="H7" s="1">
        <v>0.25700000000000001</v>
      </c>
      <c r="I7" s="13">
        <v>0.33700000000000002</v>
      </c>
      <c r="J7" s="13">
        <v>0.36</v>
      </c>
      <c r="K7" s="13">
        <v>0.379</v>
      </c>
      <c r="L7" s="13">
        <v>0.26200000000000001</v>
      </c>
      <c r="M7" s="14">
        <v>0.28000000000000003</v>
      </c>
      <c r="N7" s="14">
        <v>0.33900000000000002</v>
      </c>
      <c r="O7" s="14">
        <v>0.23899999999999999</v>
      </c>
      <c r="P7" s="14">
        <v>0.317</v>
      </c>
      <c r="Q7" s="18">
        <v>0.28799999999999998</v>
      </c>
      <c r="R7" s="18">
        <v>0.309</v>
      </c>
      <c r="S7" s="18">
        <v>0.36099999999999999</v>
      </c>
      <c r="T7" s="18">
        <v>0.32700000000000001</v>
      </c>
      <c r="U7" s="18">
        <v>0.32800000000000001</v>
      </c>
      <c r="V7" s="18">
        <v>0.377</v>
      </c>
      <c r="W7" s="18">
        <v>0.28299999999999997</v>
      </c>
      <c r="X7" s="18">
        <v>0.316</v>
      </c>
      <c r="Y7" s="18">
        <v>0.33300000000000002</v>
      </c>
      <c r="Z7" s="18">
        <v>0.38700000000000001</v>
      </c>
      <c r="AA7" s="18">
        <v>0.35899999999999999</v>
      </c>
      <c r="AB7" s="18">
        <v>0.218</v>
      </c>
      <c r="AC7" s="11">
        <f t="shared" si="0"/>
        <v>0.31480769230769234</v>
      </c>
      <c r="AD7" s="5">
        <f t="shared" si="1"/>
        <v>4.6886261724107633E-2</v>
      </c>
    </row>
    <row r="8" spans="1:30" x14ac:dyDescent="0.2">
      <c r="A8" s="1" t="s">
        <v>7</v>
      </c>
      <c r="B8" s="1">
        <v>1</v>
      </c>
      <c r="C8" s="1">
        <v>1</v>
      </c>
      <c r="D8" s="8">
        <v>1</v>
      </c>
      <c r="E8" s="1">
        <v>1</v>
      </c>
      <c r="F8" s="1">
        <v>1</v>
      </c>
      <c r="G8" s="1">
        <v>1</v>
      </c>
      <c r="H8" s="1">
        <v>1</v>
      </c>
      <c r="I8" s="13">
        <v>1</v>
      </c>
      <c r="J8" s="13">
        <v>1</v>
      </c>
      <c r="K8" s="13">
        <v>1</v>
      </c>
      <c r="L8" s="13">
        <v>1</v>
      </c>
      <c r="M8" s="14">
        <v>1</v>
      </c>
      <c r="N8" s="14">
        <v>1</v>
      </c>
      <c r="O8" s="14">
        <v>1</v>
      </c>
      <c r="P8" s="14">
        <v>1</v>
      </c>
      <c r="Q8" s="18">
        <v>1</v>
      </c>
      <c r="R8" s="18">
        <v>1</v>
      </c>
      <c r="S8" s="18">
        <v>1</v>
      </c>
      <c r="T8" s="18">
        <v>1</v>
      </c>
      <c r="U8" s="18">
        <v>1</v>
      </c>
      <c r="V8" s="18">
        <v>1</v>
      </c>
      <c r="W8" s="18">
        <v>1</v>
      </c>
      <c r="X8" s="18">
        <v>1</v>
      </c>
      <c r="Y8" s="18">
        <v>1</v>
      </c>
      <c r="Z8" s="18">
        <v>1</v>
      </c>
      <c r="AA8" s="18">
        <v>1</v>
      </c>
      <c r="AB8" s="18">
        <v>1</v>
      </c>
      <c r="AC8" s="11">
        <f t="shared" si="0"/>
        <v>1</v>
      </c>
      <c r="AD8" s="5">
        <f t="shared" si="1"/>
        <v>0</v>
      </c>
    </row>
    <row r="9" spans="1:30" x14ac:dyDescent="0.2">
      <c r="A9" s="1" t="s">
        <v>8</v>
      </c>
      <c r="B9" s="1">
        <v>0.57199999999999995</v>
      </c>
      <c r="C9" s="1">
        <v>0.67900000000000005</v>
      </c>
      <c r="D9" s="8">
        <v>0.75700000000000001</v>
      </c>
      <c r="E9" s="1">
        <v>0.86099999999999999</v>
      </c>
      <c r="F9" s="1">
        <v>0.69099999999999995</v>
      </c>
      <c r="G9" s="1">
        <v>0.84</v>
      </c>
      <c r="H9" s="1">
        <v>0.85</v>
      </c>
      <c r="I9" s="13">
        <v>0.45900000000000002</v>
      </c>
      <c r="J9" s="13">
        <v>0.61799999999999999</v>
      </c>
      <c r="K9" s="13">
        <v>0.36499999999999999</v>
      </c>
      <c r="L9" s="13">
        <v>0.78500000000000003</v>
      </c>
      <c r="M9" s="14">
        <v>0.89</v>
      </c>
      <c r="N9" s="14">
        <v>0.47099999999999997</v>
      </c>
      <c r="O9" s="14">
        <v>0.78200000000000003</v>
      </c>
      <c r="P9" s="14">
        <v>0.503</v>
      </c>
      <c r="Q9" s="18">
        <v>0.54600000000000004</v>
      </c>
      <c r="R9" s="18">
        <v>0.88700000000000001</v>
      </c>
      <c r="S9" s="18">
        <v>0.497</v>
      </c>
      <c r="T9" s="18">
        <v>0.48199999999999998</v>
      </c>
      <c r="U9" s="18">
        <v>0.66300000000000003</v>
      </c>
      <c r="V9" s="18">
        <v>0.93300000000000005</v>
      </c>
      <c r="W9" s="18">
        <v>0.629</v>
      </c>
      <c r="X9" s="18">
        <v>0.82399999999999995</v>
      </c>
      <c r="Y9" s="18">
        <v>0.55700000000000005</v>
      </c>
      <c r="Z9" s="18">
        <v>0.443</v>
      </c>
      <c r="AA9" s="18">
        <v>0.61899999999999999</v>
      </c>
      <c r="AB9" s="18">
        <v>0.74</v>
      </c>
      <c r="AC9" s="11">
        <f t="shared" si="0"/>
        <v>0.66099999999999981</v>
      </c>
      <c r="AD9" s="5">
        <f t="shared" si="1"/>
        <v>0.16514987132904535</v>
      </c>
    </row>
    <row r="10" spans="1:30" x14ac:dyDescent="0.2">
      <c r="A10" s="1" t="s">
        <v>9</v>
      </c>
      <c r="B10" s="1">
        <v>0.49</v>
      </c>
      <c r="C10" s="1">
        <v>0.59299999999999997</v>
      </c>
      <c r="D10" s="8">
        <v>0.55900000000000005</v>
      </c>
      <c r="E10" s="1">
        <v>0.874</v>
      </c>
      <c r="F10" s="1">
        <v>0.65600000000000003</v>
      </c>
      <c r="G10" s="1">
        <v>0.79</v>
      </c>
      <c r="H10" s="1">
        <v>0.81899999999999995</v>
      </c>
      <c r="I10" s="13">
        <v>0.215</v>
      </c>
      <c r="J10" s="13">
        <v>0.48599999999999999</v>
      </c>
      <c r="K10" s="13">
        <v>0.29599999999999999</v>
      </c>
      <c r="L10" s="13">
        <v>0.69</v>
      </c>
      <c r="M10" s="14">
        <v>0.874</v>
      </c>
      <c r="N10" s="14">
        <v>0.36099999999999999</v>
      </c>
      <c r="O10" s="14">
        <v>0.65200000000000002</v>
      </c>
      <c r="P10" s="14">
        <v>0.41799999999999998</v>
      </c>
      <c r="Q10" s="18">
        <v>0.54720000000000002</v>
      </c>
      <c r="R10" s="18">
        <v>0.89200000000000002</v>
      </c>
      <c r="S10" s="18">
        <v>0.31</v>
      </c>
      <c r="T10" s="18">
        <v>0.34799999999999998</v>
      </c>
      <c r="U10" s="18">
        <v>0.66400000000000003</v>
      </c>
      <c r="V10" s="18">
        <v>0.94299999999999995</v>
      </c>
      <c r="W10" s="18">
        <v>0.40200000000000002</v>
      </c>
      <c r="X10" s="18">
        <v>0.73699999999999999</v>
      </c>
      <c r="Y10" s="18">
        <v>0.498</v>
      </c>
      <c r="Z10" s="18">
        <v>0.41699999999999998</v>
      </c>
      <c r="AA10" s="18">
        <v>0.57299999999999995</v>
      </c>
      <c r="AB10" s="18">
        <v>0.84099999999999997</v>
      </c>
      <c r="AC10" s="11">
        <f t="shared" si="0"/>
        <v>0.59177692307692298</v>
      </c>
      <c r="AD10" s="5">
        <f t="shared" si="1"/>
        <v>0.21170760460161589</v>
      </c>
    </row>
    <row r="11" spans="1:30" x14ac:dyDescent="0.2">
      <c r="B11" t="s">
        <v>10</v>
      </c>
      <c r="I11" t="s">
        <v>11</v>
      </c>
      <c r="M11" t="s">
        <v>12</v>
      </c>
      <c r="Q11" t="s">
        <v>13</v>
      </c>
    </row>
    <row r="13" spans="1:30" x14ac:dyDescent="0.2">
      <c r="A13" s="25" t="s">
        <v>14</v>
      </c>
      <c r="B13" s="26"/>
      <c r="C13" s="26"/>
      <c r="D13" s="26"/>
      <c r="E13" s="26"/>
      <c r="F13" s="26"/>
      <c r="G13" s="27"/>
    </row>
    <row r="14" spans="1:30" x14ac:dyDescent="0.2">
      <c r="A14" s="1" t="s">
        <v>1</v>
      </c>
      <c r="B14" s="4">
        <v>1</v>
      </c>
      <c r="C14" s="4">
        <v>2</v>
      </c>
      <c r="D14" s="4">
        <v>3</v>
      </c>
      <c r="E14" s="4">
        <v>4</v>
      </c>
      <c r="F14" s="4">
        <v>5</v>
      </c>
      <c r="G14" s="4">
        <v>6</v>
      </c>
      <c r="H14" s="9" t="s">
        <v>2</v>
      </c>
      <c r="I14" s="9" t="s">
        <v>3</v>
      </c>
    </row>
    <row r="15" spans="1:30" x14ac:dyDescent="0.2">
      <c r="A15" s="1" t="s">
        <v>4</v>
      </c>
      <c r="B15" s="1">
        <v>0.78</v>
      </c>
      <c r="C15" s="1">
        <v>0.55000000000000004</v>
      </c>
      <c r="D15" s="1">
        <v>0.51</v>
      </c>
      <c r="E15" s="1">
        <v>0.61</v>
      </c>
      <c r="F15" s="1">
        <v>0.88</v>
      </c>
      <c r="G15" s="1">
        <v>0.81</v>
      </c>
      <c r="H15" s="5">
        <f t="shared" ref="H15:H20" si="2">AVERAGE(B15:G15)</f>
        <v>0.69000000000000006</v>
      </c>
      <c r="I15" s="5">
        <f t="shared" ref="I15:I20" si="3">STDEV(B15:G15)</f>
        <v>0.15297058540778324</v>
      </c>
    </row>
    <row r="16" spans="1:30" x14ac:dyDescent="0.2">
      <c r="A16" s="1" t="s">
        <v>5</v>
      </c>
      <c r="B16" s="1">
        <v>0.78300000000000003</v>
      </c>
      <c r="C16" s="1">
        <v>0.73199999999999998</v>
      </c>
      <c r="D16" s="1">
        <v>0.78400000000000003</v>
      </c>
      <c r="E16" s="1">
        <v>0.8</v>
      </c>
      <c r="F16" s="1">
        <v>0.90900000000000003</v>
      </c>
      <c r="G16" s="1">
        <v>0.85</v>
      </c>
      <c r="H16" s="5">
        <f t="shared" si="2"/>
        <v>0.80966666666666665</v>
      </c>
      <c r="I16" s="5">
        <f t="shared" si="3"/>
        <v>6.1626833982175881E-2</v>
      </c>
    </row>
    <row r="17" spans="1:9" x14ac:dyDescent="0.2">
      <c r="A17" s="1" t="s">
        <v>6</v>
      </c>
      <c r="B17" s="1">
        <v>0.33800000000000002</v>
      </c>
      <c r="C17" s="1">
        <v>0.25</v>
      </c>
      <c r="D17" s="1">
        <v>0.29299999999999998</v>
      </c>
      <c r="E17" s="1">
        <v>0.307</v>
      </c>
      <c r="F17" s="1">
        <v>0.39100000000000001</v>
      </c>
      <c r="G17" s="1">
        <v>0.33800000000000002</v>
      </c>
      <c r="H17" s="5">
        <f t="shared" si="2"/>
        <v>0.31950000000000001</v>
      </c>
      <c r="I17" s="5">
        <f t="shared" si="3"/>
        <v>4.7928071106607323E-2</v>
      </c>
    </row>
    <row r="18" spans="1:9" x14ac:dyDescent="0.2">
      <c r="A18" s="1" t="s">
        <v>7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5">
        <f t="shared" si="2"/>
        <v>1</v>
      </c>
      <c r="I18" s="5">
        <f t="shared" si="3"/>
        <v>0</v>
      </c>
    </row>
    <row r="19" spans="1:9" x14ac:dyDescent="0.2">
      <c r="A19" s="1" t="s">
        <v>8</v>
      </c>
      <c r="B19" s="1">
        <v>0.86499999999999999</v>
      </c>
      <c r="C19" s="1">
        <v>0.47499999999999998</v>
      </c>
      <c r="D19" s="1">
        <v>0.56200000000000006</v>
      </c>
      <c r="E19" s="1">
        <v>0.48199999999999998</v>
      </c>
      <c r="F19" s="1">
        <v>0.70099999999999996</v>
      </c>
      <c r="G19" s="1">
        <v>0.89900000000000002</v>
      </c>
      <c r="H19" s="5">
        <f t="shared" si="2"/>
        <v>0.66400000000000003</v>
      </c>
      <c r="I19" s="5">
        <f t="shared" si="3"/>
        <v>0.18774663778613968</v>
      </c>
    </row>
    <row r="20" spans="1:9" x14ac:dyDescent="0.2">
      <c r="A20" s="1" t="s">
        <v>9</v>
      </c>
      <c r="B20" s="1">
        <v>0.92400000000000004</v>
      </c>
      <c r="C20" s="1">
        <v>0.15</v>
      </c>
      <c r="D20" s="1">
        <v>0.185</v>
      </c>
      <c r="E20" s="1">
        <v>0.315</v>
      </c>
      <c r="F20" s="1">
        <v>0.82499999999999996</v>
      </c>
      <c r="G20" s="1">
        <v>0.95399999999999996</v>
      </c>
      <c r="H20" s="5">
        <f t="shared" si="2"/>
        <v>0.55883333333333329</v>
      </c>
      <c r="I20" s="5">
        <f t="shared" si="3"/>
        <v>0.38123452974077093</v>
      </c>
    </row>
    <row r="21" spans="1:9" x14ac:dyDescent="0.2">
      <c r="B21" t="s">
        <v>10</v>
      </c>
    </row>
  </sheetData>
  <mergeCells count="2">
    <mergeCell ref="A13:G13"/>
    <mergeCell ref="A3:AC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D21"/>
  <sheetViews>
    <sheetView zoomScale="88" zoomScaleNormal="88" workbookViewId="0">
      <selection activeCell="J16" sqref="J16"/>
    </sheetView>
  </sheetViews>
  <sheetFormatPr baseColWidth="10" defaultRowHeight="15" x14ac:dyDescent="0.2"/>
  <cols>
    <col min="1" max="1" width="13.83203125" customWidth="1"/>
  </cols>
  <sheetData>
    <row r="3" spans="1:30" x14ac:dyDescent="0.2">
      <c r="A3" s="28" t="s">
        <v>15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7"/>
    </row>
    <row r="4" spans="1:30" x14ac:dyDescent="0.2">
      <c r="A4" s="1" t="s">
        <v>1</v>
      </c>
      <c r="B4" s="4">
        <v>1</v>
      </c>
      <c r="C4" s="4">
        <v>2</v>
      </c>
      <c r="D4" s="7">
        <v>3</v>
      </c>
      <c r="E4" s="4">
        <v>4</v>
      </c>
      <c r="F4" s="7">
        <v>5</v>
      </c>
      <c r="G4" s="4">
        <v>6</v>
      </c>
      <c r="H4" s="4">
        <v>7</v>
      </c>
      <c r="I4" s="12">
        <v>8</v>
      </c>
      <c r="J4" s="12">
        <v>9</v>
      </c>
      <c r="K4" s="12">
        <v>10</v>
      </c>
      <c r="L4" s="12">
        <v>11</v>
      </c>
      <c r="M4" s="15">
        <v>12</v>
      </c>
      <c r="N4" s="15">
        <v>13</v>
      </c>
      <c r="O4" s="15">
        <v>14</v>
      </c>
      <c r="P4" s="15">
        <v>15</v>
      </c>
      <c r="Q4" s="19">
        <v>16</v>
      </c>
      <c r="R4" s="19">
        <v>17</v>
      </c>
      <c r="S4" s="19">
        <v>18</v>
      </c>
      <c r="T4" s="19">
        <v>19</v>
      </c>
      <c r="U4" s="19">
        <v>20</v>
      </c>
      <c r="V4" s="19">
        <v>21</v>
      </c>
      <c r="W4" s="19">
        <v>22</v>
      </c>
      <c r="X4" s="19">
        <v>23</v>
      </c>
      <c r="Y4" s="19">
        <v>24</v>
      </c>
      <c r="Z4" s="19">
        <v>25</v>
      </c>
      <c r="AA4" s="19">
        <v>26</v>
      </c>
      <c r="AB4" s="19">
        <v>27</v>
      </c>
      <c r="AC4" s="3" t="s">
        <v>2</v>
      </c>
      <c r="AD4" s="3" t="s">
        <v>3</v>
      </c>
    </row>
    <row r="5" spans="1:30" x14ac:dyDescent="0.2">
      <c r="A5" s="1" t="s">
        <v>4</v>
      </c>
      <c r="B5" s="6" t="s">
        <v>16</v>
      </c>
      <c r="C5" s="6" t="s">
        <v>17</v>
      </c>
      <c r="D5" s="8">
        <v>0.04</v>
      </c>
      <c r="E5" s="1">
        <v>0.52</v>
      </c>
      <c r="F5" s="8">
        <v>0.03</v>
      </c>
      <c r="G5" s="1">
        <v>0.23</v>
      </c>
      <c r="H5" s="1">
        <v>0.25</v>
      </c>
      <c r="I5" s="13">
        <v>0.14000000000000001</v>
      </c>
      <c r="J5" s="13">
        <v>0.37</v>
      </c>
      <c r="K5" s="13">
        <v>0.18</v>
      </c>
      <c r="L5" s="13">
        <v>0.14000000000000001</v>
      </c>
      <c r="M5" s="14">
        <v>0.28999999999999998</v>
      </c>
      <c r="N5" s="14">
        <v>0.37</v>
      </c>
      <c r="O5" s="14">
        <v>0.14000000000000001</v>
      </c>
      <c r="P5" s="14">
        <v>0.59</v>
      </c>
      <c r="Q5" s="18">
        <v>0.36</v>
      </c>
      <c r="R5" s="18">
        <v>0.45</v>
      </c>
      <c r="S5" s="18">
        <v>0.22</v>
      </c>
      <c r="T5" s="18">
        <v>0.4</v>
      </c>
      <c r="U5" s="18">
        <v>0.45</v>
      </c>
      <c r="V5" s="18">
        <v>0.32</v>
      </c>
      <c r="W5" s="18">
        <v>0.27</v>
      </c>
      <c r="X5" s="18">
        <v>0.34</v>
      </c>
      <c r="Y5" s="18">
        <v>0.46</v>
      </c>
      <c r="Z5" s="18">
        <v>0.39</v>
      </c>
      <c r="AA5" s="18">
        <v>0.41</v>
      </c>
      <c r="AB5" s="18">
        <v>0.25</v>
      </c>
      <c r="AC5" s="11">
        <f>AVERAGE(PER2vsSC35!B5:C5,PER2vsSC35!E5,G5:AB5)</f>
        <v>0.32782608695652177</v>
      </c>
      <c r="AD5" s="5">
        <f>STDEV(PER2vsSC35!B5:C5,PER2vsSC35!E5,G5:AB5)</f>
        <v>0.12420498166480977</v>
      </c>
    </row>
    <row r="6" spans="1:30" x14ac:dyDescent="0.2">
      <c r="A6" s="1" t="s">
        <v>5</v>
      </c>
      <c r="B6" s="6" t="s">
        <v>18</v>
      </c>
      <c r="C6" s="6" t="s">
        <v>19</v>
      </c>
      <c r="D6" s="8">
        <v>0.40699999999999997</v>
      </c>
      <c r="E6" s="1">
        <v>0.80700000000000005</v>
      </c>
      <c r="F6" s="8">
        <v>0.47</v>
      </c>
      <c r="G6" s="1">
        <v>0.72199999999999998</v>
      </c>
      <c r="H6" s="1">
        <v>0.44700000000000001</v>
      </c>
      <c r="I6" s="13">
        <v>0.68</v>
      </c>
      <c r="J6" s="13">
        <v>0.79</v>
      </c>
      <c r="K6" s="13">
        <v>0.74</v>
      </c>
      <c r="L6" s="13">
        <v>0.52</v>
      </c>
      <c r="M6" s="14">
        <v>0.61</v>
      </c>
      <c r="N6" s="14">
        <v>0.79</v>
      </c>
      <c r="O6" s="14">
        <v>0.5</v>
      </c>
      <c r="P6" s="14">
        <v>0.69</v>
      </c>
      <c r="Q6" s="18">
        <v>0.72499999999999998</v>
      </c>
      <c r="R6" s="18">
        <v>0.79</v>
      </c>
      <c r="S6" s="18">
        <v>0.749</v>
      </c>
      <c r="T6" s="18">
        <v>0.77</v>
      </c>
      <c r="U6" s="18">
        <v>0.78900000000000003</v>
      </c>
      <c r="V6" s="18">
        <v>0.78800000000000003</v>
      </c>
      <c r="W6" s="18">
        <v>0.69</v>
      </c>
      <c r="X6" s="18">
        <v>0.78900000000000003</v>
      </c>
      <c r="Y6" s="18">
        <v>0.76500000000000001</v>
      </c>
      <c r="Z6" s="18">
        <v>0.79</v>
      </c>
      <c r="AA6" s="18">
        <v>0.8</v>
      </c>
      <c r="AB6" s="18">
        <v>0.6</v>
      </c>
      <c r="AC6" s="11">
        <f>AVERAGE(PER2vsSC35!B6:C6,PER2vsSC35!E6,G6:AB6)</f>
        <v>0.71047826086956523</v>
      </c>
      <c r="AD6" s="5">
        <f>STDEV(PER2vsSC35!B6:C6,PER2vsSC35!E6,G6:AB6)</f>
        <v>0.10536812937386233</v>
      </c>
    </row>
    <row r="7" spans="1:30" x14ac:dyDescent="0.2">
      <c r="A7" s="1" t="s">
        <v>6</v>
      </c>
      <c r="B7" s="6" t="s">
        <v>20</v>
      </c>
      <c r="C7" s="6" t="s">
        <v>21</v>
      </c>
      <c r="D7" s="8">
        <v>7.6999999999999999E-2</v>
      </c>
      <c r="E7" s="1">
        <v>0.32400000000000001</v>
      </c>
      <c r="F7" s="8">
        <v>0.123</v>
      </c>
      <c r="G7" s="1">
        <v>0.221</v>
      </c>
      <c r="H7" s="1">
        <v>0.14399999999999999</v>
      </c>
      <c r="I7" s="13">
        <v>0.27800000000000002</v>
      </c>
      <c r="J7" s="13">
        <v>0.313</v>
      </c>
      <c r="K7" s="13">
        <v>0.25</v>
      </c>
      <c r="L7" s="13">
        <v>0.16900000000000001</v>
      </c>
      <c r="M7" s="14">
        <v>0.20699999999999999</v>
      </c>
      <c r="N7" s="14">
        <v>0.26</v>
      </c>
      <c r="O7" s="14">
        <v>0.111</v>
      </c>
      <c r="P7" s="14">
        <v>0.249</v>
      </c>
      <c r="Q7" s="18">
        <v>0.22600000000000001</v>
      </c>
      <c r="R7" s="18">
        <v>0.33</v>
      </c>
      <c r="S7" s="18">
        <v>0.28899999999999998</v>
      </c>
      <c r="T7" s="18">
        <v>0.28599999999999998</v>
      </c>
      <c r="U7" s="18">
        <v>0.27</v>
      </c>
      <c r="V7" s="18">
        <v>0.27900000000000003</v>
      </c>
      <c r="W7" s="18">
        <v>0.27400000000000002</v>
      </c>
      <c r="X7" s="18">
        <v>0.314</v>
      </c>
      <c r="Y7" s="18">
        <v>0.27500000000000002</v>
      </c>
      <c r="Z7" s="18">
        <v>0.309</v>
      </c>
      <c r="AA7" s="18">
        <v>0.29199999999999998</v>
      </c>
      <c r="AB7" s="18">
        <v>0.188</v>
      </c>
      <c r="AC7" s="11">
        <f>AVERAGE(PER2vsSC35!B7:C7,PER2vsSC35!E7,G7:AB7)</f>
        <v>0.2546956521739131</v>
      </c>
      <c r="AD7" s="5">
        <f>STDEV(PER2vsSC35!B7:C7,PER2vsSC35!E7,G7:AB7)</f>
        <v>5.8407218407105284E-2</v>
      </c>
    </row>
    <row r="8" spans="1:30" x14ac:dyDescent="0.2">
      <c r="A8" s="1" t="s">
        <v>7</v>
      </c>
      <c r="B8" s="6" t="s">
        <v>22</v>
      </c>
      <c r="C8" s="6" t="s">
        <v>22</v>
      </c>
      <c r="D8" s="8">
        <v>0.79</v>
      </c>
      <c r="E8" s="1">
        <v>1</v>
      </c>
      <c r="F8" s="8">
        <v>0.59</v>
      </c>
      <c r="G8" s="1">
        <v>1</v>
      </c>
      <c r="H8" s="1">
        <v>1</v>
      </c>
      <c r="I8" s="13">
        <v>0.98</v>
      </c>
      <c r="J8" s="13">
        <v>1</v>
      </c>
      <c r="K8" s="13">
        <v>1</v>
      </c>
      <c r="L8" s="13">
        <v>1</v>
      </c>
      <c r="M8" s="14">
        <v>1</v>
      </c>
      <c r="N8" s="14">
        <v>1</v>
      </c>
      <c r="O8" s="14">
        <v>0.95</v>
      </c>
      <c r="P8" s="14">
        <v>1</v>
      </c>
      <c r="Q8" s="18">
        <v>1</v>
      </c>
      <c r="R8" s="18">
        <v>1</v>
      </c>
      <c r="S8" s="18">
        <v>1</v>
      </c>
      <c r="T8" s="18">
        <v>1</v>
      </c>
      <c r="U8" s="18">
        <v>1</v>
      </c>
      <c r="V8" s="18">
        <v>1</v>
      </c>
      <c r="W8" s="18">
        <v>1</v>
      </c>
      <c r="X8" s="18">
        <v>1</v>
      </c>
      <c r="Y8" s="18">
        <v>1</v>
      </c>
      <c r="Z8" s="18">
        <v>1</v>
      </c>
      <c r="AA8" s="18">
        <v>1</v>
      </c>
      <c r="AB8" s="18">
        <v>1</v>
      </c>
      <c r="AC8" s="11">
        <f>AVERAGE(PER2vsSC35!B8:C8,PER2vsSC35!E8,G8:AB8)</f>
        <v>0.99695652173913041</v>
      </c>
      <c r="AD8" s="5">
        <f>STDEV(PER2vsSC35!B8:C8,PER2vsSC35!E8,G8:AB8)</f>
        <v>1.1051442772406639E-2</v>
      </c>
    </row>
    <row r="9" spans="1:30" x14ac:dyDescent="0.2">
      <c r="A9" s="1" t="s">
        <v>8</v>
      </c>
      <c r="B9" s="6" t="s">
        <v>23</v>
      </c>
      <c r="C9" s="6" t="s">
        <v>24</v>
      </c>
      <c r="D9" s="8">
        <v>3.4000000000000002E-2</v>
      </c>
      <c r="E9" s="1">
        <v>0.35399999999999998</v>
      </c>
      <c r="F9" s="8">
        <v>0.16500000000000001</v>
      </c>
      <c r="G9" s="1">
        <v>0.36699999999999999</v>
      </c>
      <c r="H9" s="1">
        <v>0.38</v>
      </c>
      <c r="I9" s="13">
        <v>0.47199999999999998</v>
      </c>
      <c r="J9" s="13">
        <v>0.35599999999999998</v>
      </c>
      <c r="K9" s="13">
        <v>0.84499999999999997</v>
      </c>
      <c r="L9" s="13">
        <v>0.54900000000000004</v>
      </c>
      <c r="M9" s="14">
        <v>0.16</v>
      </c>
      <c r="N9" s="14">
        <v>0.108</v>
      </c>
      <c r="O9" s="14">
        <v>0.53400000000000003</v>
      </c>
      <c r="P9" s="14">
        <v>0.57799999999999996</v>
      </c>
      <c r="Q9" s="18">
        <v>0.71099999999999997</v>
      </c>
      <c r="R9" s="18">
        <v>0.65100000000000002</v>
      </c>
      <c r="S9" s="18">
        <v>0.77600000000000002</v>
      </c>
      <c r="T9" s="18">
        <v>0.214</v>
      </c>
      <c r="U9" s="18">
        <v>0.10299999999999999</v>
      </c>
      <c r="V9" s="18">
        <v>0.36799999999999999</v>
      </c>
      <c r="W9" s="18">
        <v>0.61299999999999999</v>
      </c>
      <c r="X9" s="18">
        <v>0.61</v>
      </c>
      <c r="Y9" s="18">
        <v>0.21199999999999999</v>
      </c>
      <c r="Z9" s="18">
        <v>5.8999999999999997E-2</v>
      </c>
      <c r="AA9" s="18">
        <v>7.8E-2</v>
      </c>
      <c r="AB9" s="18">
        <v>0.72099999999999997</v>
      </c>
      <c r="AC9" s="11">
        <f>AVERAGE(PER2vsSC35!B9:C9,PER2vsSC35!E9,G9:AB9)</f>
        <v>0.42691304347826081</v>
      </c>
      <c r="AD9" s="5">
        <f>STDEV(PER2vsSC35!B9:C9,PER2vsSC35!E9,G9:AB9)</f>
        <v>0.2411659016006652</v>
      </c>
    </row>
    <row r="10" spans="1:30" x14ac:dyDescent="0.2">
      <c r="A10" s="1" t="s">
        <v>9</v>
      </c>
      <c r="B10" s="6" t="s">
        <v>25</v>
      </c>
      <c r="C10" s="6" t="s">
        <v>26</v>
      </c>
      <c r="D10" s="8">
        <v>0.42299999999999999</v>
      </c>
      <c r="E10" s="1">
        <v>0.54800000000000004</v>
      </c>
      <c r="F10" s="8">
        <v>0.23699999999999999</v>
      </c>
      <c r="G10" s="1">
        <v>0.65700000000000003</v>
      </c>
      <c r="H10" s="1">
        <v>0.64700000000000002</v>
      </c>
      <c r="I10" s="13">
        <v>0.70199999999999996</v>
      </c>
      <c r="J10" s="13">
        <v>0.57599999999999996</v>
      </c>
      <c r="K10" s="13">
        <v>0.78900000000000003</v>
      </c>
      <c r="L10" s="13">
        <v>0.59099999999999997</v>
      </c>
      <c r="M10" s="14">
        <v>0.434</v>
      </c>
      <c r="N10" s="14">
        <v>0.46200000000000002</v>
      </c>
      <c r="O10" s="14">
        <v>0.62</v>
      </c>
      <c r="P10" s="14">
        <v>0.74399999999999999</v>
      </c>
      <c r="Q10" s="18">
        <v>0.53500000000000003</v>
      </c>
      <c r="R10" s="18">
        <v>0.69199999999999995</v>
      </c>
      <c r="S10" s="18">
        <v>0.69899999999999995</v>
      </c>
      <c r="T10" s="18">
        <v>0.442</v>
      </c>
      <c r="U10" s="18">
        <v>0.42799999999999999</v>
      </c>
      <c r="V10" s="18">
        <v>0.628</v>
      </c>
      <c r="W10" s="18">
        <v>0.65300000000000002</v>
      </c>
      <c r="X10" s="18">
        <v>0.72799999999999998</v>
      </c>
      <c r="Y10" s="18">
        <v>0.441</v>
      </c>
      <c r="Z10" s="18">
        <v>0.35699999999999998</v>
      </c>
      <c r="AA10" s="18">
        <v>0.42199999999999999</v>
      </c>
      <c r="AB10" s="18">
        <v>0.81100000000000005</v>
      </c>
      <c r="AC10" s="11">
        <f>AVERAGE(PER2vsSC35!B10:C10,PER2vsSC35!E10,G10:AB10)</f>
        <v>0.59156521739130452</v>
      </c>
      <c r="AD10" s="5">
        <f>STDEV(PER2vsSC35!B10:C10,PER2vsSC35!E10,G10:AB10)</f>
        <v>0.13118232492047546</v>
      </c>
    </row>
    <row r="11" spans="1:30" x14ac:dyDescent="0.2">
      <c r="B11" s="24" t="s">
        <v>10</v>
      </c>
      <c r="I11" t="s">
        <v>11</v>
      </c>
      <c r="M11" t="s">
        <v>12</v>
      </c>
      <c r="Q11" t="s">
        <v>13</v>
      </c>
    </row>
    <row r="14" spans="1:30" x14ac:dyDescent="0.2">
      <c r="A14" s="25" t="s">
        <v>27</v>
      </c>
      <c r="B14" s="26"/>
      <c r="C14" s="26"/>
      <c r="D14" s="26"/>
      <c r="E14" s="26"/>
      <c r="F14" s="26"/>
      <c r="G14" s="27"/>
    </row>
    <row r="15" spans="1:30" x14ac:dyDescent="0.2">
      <c r="A15" s="1" t="s">
        <v>1</v>
      </c>
      <c r="B15" s="4">
        <v>1</v>
      </c>
      <c r="C15" s="4">
        <v>2</v>
      </c>
      <c r="D15" s="4">
        <v>3</v>
      </c>
      <c r="E15" s="4">
        <v>4</v>
      </c>
      <c r="F15" s="4">
        <v>5</v>
      </c>
      <c r="G15" s="4">
        <v>6</v>
      </c>
      <c r="H15" s="9" t="s">
        <v>2</v>
      </c>
      <c r="I15" s="9" t="s">
        <v>3</v>
      </c>
    </row>
    <row r="16" spans="1:30" x14ac:dyDescent="0.2">
      <c r="A16" s="1" t="s">
        <v>4</v>
      </c>
      <c r="B16" s="1">
        <v>0.41</v>
      </c>
      <c r="C16" s="1">
        <v>0.13</v>
      </c>
      <c r="D16" s="1">
        <v>0.16</v>
      </c>
      <c r="E16" s="1">
        <v>0.23</v>
      </c>
      <c r="F16" s="1">
        <v>0.63</v>
      </c>
      <c r="G16" s="1">
        <v>0.28000000000000003</v>
      </c>
      <c r="H16" s="5">
        <f t="shared" ref="H16:H21" si="0">AVERAGE(B16:G16)</f>
        <v>0.3066666666666667</v>
      </c>
      <c r="I16" s="5">
        <f t="shared" ref="I16:I21" si="1">STDEV(B16:G16)</f>
        <v>0.1868332589949302</v>
      </c>
    </row>
    <row r="17" spans="1:9" x14ac:dyDescent="0.2">
      <c r="A17" s="1" t="s">
        <v>5</v>
      </c>
      <c r="B17" s="1">
        <v>0.746</v>
      </c>
      <c r="C17" s="1">
        <v>0.55900000000000005</v>
      </c>
      <c r="D17" s="1">
        <v>0.61399999999999999</v>
      </c>
      <c r="E17" s="1">
        <v>0.746</v>
      </c>
      <c r="F17" s="1">
        <v>0.85299999999999998</v>
      </c>
      <c r="G17" s="1">
        <v>0.72</v>
      </c>
      <c r="H17" s="5">
        <f t="shared" si="0"/>
        <v>0.70633333333333326</v>
      </c>
      <c r="I17" s="5">
        <f t="shared" si="1"/>
        <v>0.1049545933566832</v>
      </c>
    </row>
    <row r="18" spans="1:9" x14ac:dyDescent="0.2">
      <c r="A18" s="1" t="s">
        <v>6</v>
      </c>
      <c r="B18" s="1">
        <v>0.30099999999999999</v>
      </c>
      <c r="C18" s="1">
        <v>0.23699999999999999</v>
      </c>
      <c r="D18" s="1">
        <v>0.28499999999999998</v>
      </c>
      <c r="E18" s="1">
        <v>0.29599999999999999</v>
      </c>
      <c r="F18" s="1">
        <v>0.33500000000000002</v>
      </c>
      <c r="G18" s="1">
        <v>0.22800000000000001</v>
      </c>
      <c r="H18" s="5">
        <f t="shared" si="0"/>
        <v>0.28033333333333332</v>
      </c>
      <c r="I18" s="5">
        <f t="shared" si="1"/>
        <v>4.07414612730898E-2</v>
      </c>
    </row>
    <row r="19" spans="1:9" x14ac:dyDescent="0.2">
      <c r="A19" s="1" t="s">
        <v>7</v>
      </c>
      <c r="B19" s="1">
        <v>1</v>
      </c>
      <c r="C19" s="1">
        <v>0.98</v>
      </c>
      <c r="D19" s="1">
        <v>1</v>
      </c>
      <c r="E19" s="1">
        <v>1</v>
      </c>
      <c r="F19" s="1">
        <v>1</v>
      </c>
      <c r="G19" s="1">
        <v>1</v>
      </c>
      <c r="H19" s="5">
        <f t="shared" si="0"/>
        <v>0.9966666666666667</v>
      </c>
      <c r="I19" s="5">
        <f t="shared" si="1"/>
        <v>8.1649658092772665E-3</v>
      </c>
    </row>
    <row r="20" spans="1:9" x14ac:dyDescent="0.2">
      <c r="A20" s="1" t="s">
        <v>8</v>
      </c>
      <c r="B20" s="1">
        <v>3.9E-2</v>
      </c>
      <c r="C20" s="1">
        <v>0.433</v>
      </c>
      <c r="D20" s="1">
        <v>0.45800000000000002</v>
      </c>
      <c r="E20" s="1">
        <v>5.8000000000000003E-2</v>
      </c>
      <c r="F20" s="1">
        <v>0.42599999999999999</v>
      </c>
      <c r="G20" s="1">
        <v>7.5999999999999998E-2</v>
      </c>
      <c r="H20" s="5">
        <f t="shared" si="0"/>
        <v>0.24833333333333332</v>
      </c>
      <c r="I20" s="5">
        <f t="shared" si="1"/>
        <v>0.20946280497182945</v>
      </c>
    </row>
    <row r="21" spans="1:9" x14ac:dyDescent="0.2">
      <c r="A21" s="1" t="s">
        <v>9</v>
      </c>
      <c r="B21" s="1">
        <v>0.25700000000000001</v>
      </c>
      <c r="C21" s="1">
        <v>0.64</v>
      </c>
      <c r="D21" s="1">
        <v>0.58399999999999996</v>
      </c>
      <c r="E21" s="1">
        <v>0.435</v>
      </c>
      <c r="F21" s="1">
        <v>0.65600000000000003</v>
      </c>
      <c r="G21" s="1">
        <v>0.48399999999999999</v>
      </c>
      <c r="H21" s="5">
        <f t="shared" si="0"/>
        <v>0.5093333333333333</v>
      </c>
      <c r="I21" s="5">
        <f t="shared" si="1"/>
        <v>0.15099624719398383</v>
      </c>
    </row>
  </sheetData>
  <mergeCells count="2">
    <mergeCell ref="A3:AC3"/>
    <mergeCell ref="A14:G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D21"/>
  <sheetViews>
    <sheetView zoomScale="90" zoomScaleNormal="90" workbookViewId="0">
      <selection activeCell="K31" sqref="K31"/>
    </sheetView>
  </sheetViews>
  <sheetFormatPr baseColWidth="10" defaultRowHeight="15" x14ac:dyDescent="0.2"/>
  <cols>
    <col min="1" max="1" width="13.5" customWidth="1"/>
  </cols>
  <sheetData>
    <row r="3" spans="1:30" x14ac:dyDescent="0.2">
      <c r="A3" s="28" t="s">
        <v>28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7"/>
    </row>
    <row r="4" spans="1:30" x14ac:dyDescent="0.2">
      <c r="A4" s="2" t="s">
        <v>1</v>
      </c>
      <c r="B4" s="16">
        <v>1</v>
      </c>
      <c r="C4" s="16">
        <v>2</v>
      </c>
      <c r="D4" s="20">
        <v>3</v>
      </c>
      <c r="E4" s="16">
        <v>4</v>
      </c>
      <c r="F4" s="16">
        <v>5</v>
      </c>
      <c r="G4" s="16">
        <v>6</v>
      </c>
      <c r="H4" s="16">
        <v>7</v>
      </c>
      <c r="I4" s="21">
        <v>8</v>
      </c>
      <c r="J4" s="21">
        <v>9</v>
      </c>
      <c r="K4" s="21">
        <v>10</v>
      </c>
      <c r="L4" s="21">
        <v>11</v>
      </c>
      <c r="M4" s="22">
        <v>12</v>
      </c>
      <c r="N4" s="22">
        <v>13</v>
      </c>
      <c r="O4" s="22">
        <v>14</v>
      </c>
      <c r="P4" s="22">
        <v>15</v>
      </c>
      <c r="Q4" s="23">
        <v>16</v>
      </c>
      <c r="R4" s="23">
        <v>17</v>
      </c>
      <c r="S4" s="23">
        <v>18</v>
      </c>
      <c r="T4" s="23">
        <v>19</v>
      </c>
      <c r="U4" s="23">
        <v>20</v>
      </c>
      <c r="V4" s="23">
        <v>21</v>
      </c>
      <c r="W4" s="23">
        <v>22</v>
      </c>
      <c r="X4" s="23">
        <v>23</v>
      </c>
      <c r="Y4" s="23">
        <v>24</v>
      </c>
      <c r="Z4" s="23">
        <v>25</v>
      </c>
      <c r="AA4" s="23">
        <v>26</v>
      </c>
      <c r="AB4" s="23">
        <v>27</v>
      </c>
      <c r="AC4" s="3" t="s">
        <v>2</v>
      </c>
      <c r="AD4" s="3" t="s">
        <v>3</v>
      </c>
    </row>
    <row r="5" spans="1:30" x14ac:dyDescent="0.2">
      <c r="A5" s="1" t="s">
        <v>4</v>
      </c>
      <c r="B5" s="6" t="s">
        <v>29</v>
      </c>
      <c r="C5" s="6" t="s">
        <v>30</v>
      </c>
      <c r="D5" s="8">
        <v>0.21</v>
      </c>
      <c r="E5" s="1">
        <v>0.64</v>
      </c>
      <c r="F5" s="1">
        <v>0.32</v>
      </c>
      <c r="G5" s="1">
        <v>0.44</v>
      </c>
      <c r="H5" s="1">
        <v>0.43</v>
      </c>
      <c r="I5" s="13">
        <v>0.34</v>
      </c>
      <c r="J5" s="13">
        <v>0.5</v>
      </c>
      <c r="K5" s="13">
        <v>0.3</v>
      </c>
      <c r="L5" s="13">
        <v>0.41</v>
      </c>
      <c r="M5" s="14">
        <v>0.4</v>
      </c>
      <c r="N5" s="14">
        <v>0.46</v>
      </c>
      <c r="O5" s="14">
        <v>0.31</v>
      </c>
      <c r="P5" s="14">
        <v>0.59</v>
      </c>
      <c r="Q5" s="18">
        <v>0.5</v>
      </c>
      <c r="R5" s="18">
        <v>0.59</v>
      </c>
      <c r="S5" s="18">
        <v>0.41</v>
      </c>
      <c r="T5" s="18">
        <v>0.52</v>
      </c>
      <c r="U5" s="18">
        <v>0.57999999999999996</v>
      </c>
      <c r="V5" s="18">
        <v>0.48</v>
      </c>
      <c r="W5" s="18">
        <v>0.56000000000000005</v>
      </c>
      <c r="X5" s="18">
        <v>0.56999999999999995</v>
      </c>
      <c r="Y5" s="18">
        <v>0.53</v>
      </c>
      <c r="Z5" s="18">
        <v>0.53</v>
      </c>
      <c r="AA5" s="18">
        <v>0.5</v>
      </c>
      <c r="AB5" s="18">
        <v>0.54</v>
      </c>
      <c r="AC5" s="11">
        <f t="shared" ref="AC5:AC10" si="0">AVERAGE(B5:C5,E5:AB5)</f>
        <v>0.4770833333333333</v>
      </c>
      <c r="AD5" s="5">
        <f t="shared" ref="AD5:AD10" si="1">STDEV(B5:C5,E5:AB5)</f>
        <v>9.6164676090216311E-2</v>
      </c>
    </row>
    <row r="6" spans="1:30" x14ac:dyDescent="0.2">
      <c r="A6" s="1" t="s">
        <v>5</v>
      </c>
      <c r="B6" s="6" t="s">
        <v>31</v>
      </c>
      <c r="C6" s="6" t="s">
        <v>32</v>
      </c>
      <c r="D6" s="8">
        <v>0.499</v>
      </c>
      <c r="E6" s="1">
        <v>0.88</v>
      </c>
      <c r="F6" s="1">
        <v>0.78</v>
      </c>
      <c r="G6" s="1">
        <v>0.79</v>
      </c>
      <c r="H6" s="1">
        <v>0.65</v>
      </c>
      <c r="I6" s="13">
        <v>0.71799999999999997</v>
      </c>
      <c r="J6" s="13">
        <v>0.81</v>
      </c>
      <c r="K6" s="13">
        <v>0.75</v>
      </c>
      <c r="L6" s="13">
        <v>0.63649999999999995</v>
      </c>
      <c r="M6" s="14">
        <v>0.64</v>
      </c>
      <c r="N6" s="14">
        <v>0.79</v>
      </c>
      <c r="O6" s="14">
        <v>0.56000000000000005</v>
      </c>
      <c r="P6" s="14">
        <v>0.67</v>
      </c>
      <c r="Q6" s="18">
        <v>0.75600000000000001</v>
      </c>
      <c r="R6" s="18">
        <v>0.8</v>
      </c>
      <c r="S6" s="18">
        <v>0.78800000000000003</v>
      </c>
      <c r="T6" s="18">
        <v>0.76800000000000002</v>
      </c>
      <c r="U6" s="18">
        <v>0.83499999999999996</v>
      </c>
      <c r="V6" s="18">
        <v>0.8</v>
      </c>
      <c r="W6" s="18">
        <v>0.81</v>
      </c>
      <c r="X6" s="18">
        <v>0.84699999999999998</v>
      </c>
      <c r="Y6" s="18">
        <v>0.78800000000000003</v>
      </c>
      <c r="Z6" s="18">
        <v>0.84399999999999997</v>
      </c>
      <c r="AA6" s="18">
        <v>0.82699999999999996</v>
      </c>
      <c r="AB6" s="18">
        <v>0.83599999999999997</v>
      </c>
      <c r="AC6" s="11">
        <f t="shared" si="0"/>
        <v>0.76556250000000003</v>
      </c>
      <c r="AD6" s="5">
        <f t="shared" si="1"/>
        <v>8.0199928507504056E-2</v>
      </c>
    </row>
    <row r="7" spans="1:30" x14ac:dyDescent="0.2">
      <c r="A7" s="1" t="s">
        <v>6</v>
      </c>
      <c r="B7" s="6" t="s">
        <v>33</v>
      </c>
      <c r="C7" s="6" t="s">
        <v>34</v>
      </c>
      <c r="D7" s="8">
        <v>3.5999999999999997E-2</v>
      </c>
      <c r="E7" s="1">
        <v>0.32400000000000001</v>
      </c>
      <c r="F7" s="1">
        <v>0.21099999999999999</v>
      </c>
      <c r="G7" s="1">
        <v>0.23300000000000001</v>
      </c>
      <c r="H7" s="1">
        <v>0.20499999999999999</v>
      </c>
      <c r="I7" s="13">
        <v>0.23899999999999999</v>
      </c>
      <c r="J7" s="13">
        <v>0.29899999999999999</v>
      </c>
      <c r="K7" s="13">
        <v>0.22600000000000001</v>
      </c>
      <c r="L7" s="13">
        <v>0.16500000000000001</v>
      </c>
      <c r="M7" s="14">
        <v>0.19500000000000001</v>
      </c>
      <c r="N7" s="14">
        <v>0.23599999999999999</v>
      </c>
      <c r="O7" s="14">
        <v>8.7999999999999995E-2</v>
      </c>
      <c r="P7" s="14">
        <v>0.218</v>
      </c>
      <c r="Q7" s="18">
        <v>0.20300000000000001</v>
      </c>
      <c r="R7" s="18">
        <v>0.30299999999999999</v>
      </c>
      <c r="S7" s="18">
        <v>0.26100000000000001</v>
      </c>
      <c r="T7" s="18">
        <v>0.23499999999999999</v>
      </c>
      <c r="U7" s="18">
        <v>0.25900000000000001</v>
      </c>
      <c r="V7" s="18">
        <v>0.26400000000000001</v>
      </c>
      <c r="W7" s="18">
        <v>0.24299999999999999</v>
      </c>
      <c r="X7" s="18">
        <v>0.28699999999999998</v>
      </c>
      <c r="Y7" s="18">
        <v>0.27</v>
      </c>
      <c r="Z7" s="18">
        <v>0.308</v>
      </c>
      <c r="AA7" s="18">
        <v>0.26600000000000001</v>
      </c>
      <c r="AB7" s="18">
        <v>0.29099999999999998</v>
      </c>
      <c r="AC7" s="11">
        <f t="shared" si="0"/>
        <v>0.24287500000000004</v>
      </c>
      <c r="AD7" s="5">
        <f t="shared" si="1"/>
        <v>5.1779056115131145E-2</v>
      </c>
    </row>
    <row r="8" spans="1:30" x14ac:dyDescent="0.2">
      <c r="A8" s="1" t="s">
        <v>7</v>
      </c>
      <c r="B8" s="6" t="s">
        <v>22</v>
      </c>
      <c r="C8" s="6" t="s">
        <v>22</v>
      </c>
      <c r="D8" s="8">
        <v>0.71499999999999997</v>
      </c>
      <c r="E8" s="1">
        <v>1</v>
      </c>
      <c r="F8" s="1">
        <v>1</v>
      </c>
      <c r="G8" s="1">
        <v>1</v>
      </c>
      <c r="H8" s="1">
        <v>1</v>
      </c>
      <c r="I8" s="13">
        <v>1</v>
      </c>
      <c r="J8" s="13">
        <v>1</v>
      </c>
      <c r="K8" s="13">
        <v>1</v>
      </c>
      <c r="L8" s="13">
        <v>1</v>
      </c>
      <c r="M8" s="14">
        <v>1</v>
      </c>
      <c r="N8" s="14">
        <v>1</v>
      </c>
      <c r="O8" s="14">
        <v>1</v>
      </c>
      <c r="P8" s="14">
        <v>1</v>
      </c>
      <c r="Q8" s="18">
        <v>1</v>
      </c>
      <c r="R8" s="18">
        <v>1</v>
      </c>
      <c r="S8" s="18">
        <v>1</v>
      </c>
      <c r="T8" s="18">
        <v>1</v>
      </c>
      <c r="U8" s="18">
        <v>1</v>
      </c>
      <c r="V8" s="18">
        <v>1</v>
      </c>
      <c r="W8" s="18">
        <v>1</v>
      </c>
      <c r="X8" s="18">
        <v>1</v>
      </c>
      <c r="Y8" s="18">
        <v>1</v>
      </c>
      <c r="Z8" s="18">
        <v>1</v>
      </c>
      <c r="AA8" s="18">
        <v>1</v>
      </c>
      <c r="AB8" s="18">
        <v>1</v>
      </c>
      <c r="AC8" s="11">
        <f t="shared" si="0"/>
        <v>1</v>
      </c>
      <c r="AD8" s="5">
        <f t="shared" si="1"/>
        <v>0</v>
      </c>
    </row>
    <row r="9" spans="1:30" x14ac:dyDescent="0.2">
      <c r="A9" s="1" t="s">
        <v>8</v>
      </c>
      <c r="B9" s="6" t="s">
        <v>35</v>
      </c>
      <c r="C9" s="6" t="s">
        <v>36</v>
      </c>
      <c r="D9" s="8">
        <v>0.20899999999999999</v>
      </c>
      <c r="E9" s="1">
        <v>0</v>
      </c>
      <c r="F9" s="1">
        <v>0.50700000000000001</v>
      </c>
      <c r="G9" s="1">
        <v>6.0999999999999999E-2</v>
      </c>
      <c r="H9" s="1">
        <v>0.106</v>
      </c>
      <c r="I9" s="13">
        <v>0.496</v>
      </c>
      <c r="J9" s="13">
        <v>5.0000000000000001E-3</v>
      </c>
      <c r="K9" s="13">
        <v>0.40500000000000003</v>
      </c>
      <c r="L9" s="13">
        <v>0.32900000000000001</v>
      </c>
      <c r="M9" s="14">
        <v>0.33100000000000002</v>
      </c>
      <c r="N9" s="14">
        <v>8.5999999999999993E-2</v>
      </c>
      <c r="O9" s="14">
        <v>0.53600000000000003</v>
      </c>
      <c r="P9" s="14">
        <v>0.71899999999999997</v>
      </c>
      <c r="Q9" s="18">
        <v>0.247</v>
      </c>
      <c r="R9" s="18">
        <v>4.0000000000000001E-3</v>
      </c>
      <c r="S9" s="18">
        <v>0.39500000000000002</v>
      </c>
      <c r="T9" s="18">
        <v>0.124</v>
      </c>
      <c r="U9" s="18">
        <v>0.187</v>
      </c>
      <c r="V9" s="18">
        <v>0.20799999999999999</v>
      </c>
      <c r="W9" s="18">
        <v>0.27100000000000002</v>
      </c>
      <c r="X9" s="18">
        <v>0.16600000000000001</v>
      </c>
      <c r="Y9" s="18">
        <v>0.17</v>
      </c>
      <c r="Z9" s="18">
        <v>0.126</v>
      </c>
      <c r="AA9" s="18">
        <v>0.189</v>
      </c>
      <c r="AB9" s="18">
        <v>0.25600000000000001</v>
      </c>
      <c r="AC9" s="11">
        <f t="shared" si="0"/>
        <v>0.24683333333333335</v>
      </c>
      <c r="AD9" s="5">
        <f t="shared" si="1"/>
        <v>0.18731226350127486</v>
      </c>
    </row>
    <row r="10" spans="1:30" x14ac:dyDescent="0.2">
      <c r="A10" s="1" t="s">
        <v>9</v>
      </c>
      <c r="B10" s="6" t="s">
        <v>37</v>
      </c>
      <c r="C10" s="6" t="s">
        <v>38</v>
      </c>
      <c r="D10" s="8">
        <v>1</v>
      </c>
      <c r="E10" s="1">
        <v>5.0999999999999997E-2</v>
      </c>
      <c r="F10" s="1">
        <v>0.14099999999999999</v>
      </c>
      <c r="G10" s="1">
        <v>0.81</v>
      </c>
      <c r="H10" s="1">
        <v>7.0000000000000007E-2</v>
      </c>
      <c r="I10" s="13">
        <v>0.108</v>
      </c>
      <c r="J10" s="13">
        <v>7.1999999999999995E-2</v>
      </c>
      <c r="K10" s="13">
        <v>0.122</v>
      </c>
      <c r="L10" s="13">
        <v>0.105</v>
      </c>
      <c r="M10" s="14">
        <v>0.12</v>
      </c>
      <c r="N10" s="14">
        <v>7.0999999999999994E-2</v>
      </c>
      <c r="O10" s="14">
        <v>6.5000000000000002E-2</v>
      </c>
      <c r="P10" s="14">
        <v>0.49</v>
      </c>
      <c r="Q10" s="18">
        <v>0.10299999999999999</v>
      </c>
      <c r="R10" s="18">
        <v>6.6000000000000003E-2</v>
      </c>
      <c r="S10" s="18">
        <v>7.8E-2</v>
      </c>
      <c r="T10" s="18">
        <v>8.6999999999999994E-2</v>
      </c>
      <c r="U10" s="18">
        <v>9.1999999999999998E-2</v>
      </c>
      <c r="V10" s="18">
        <v>7.2999999999999995E-2</v>
      </c>
      <c r="W10" s="18">
        <v>9.6000000000000002E-2</v>
      </c>
      <c r="X10" s="18">
        <v>0.1</v>
      </c>
      <c r="Y10" s="18">
        <v>0.13300000000000001</v>
      </c>
      <c r="Z10" s="18">
        <v>0.104</v>
      </c>
      <c r="AA10" s="18">
        <v>0.104</v>
      </c>
      <c r="AB10" s="18">
        <v>0.11700000000000001</v>
      </c>
      <c r="AC10" s="11">
        <f t="shared" si="0"/>
        <v>0.14075000000000001</v>
      </c>
      <c r="AD10" s="5">
        <f t="shared" si="1"/>
        <v>0.16539655903050227</v>
      </c>
    </row>
    <row r="11" spans="1:30" x14ac:dyDescent="0.2">
      <c r="B11" s="24" t="s">
        <v>10</v>
      </c>
      <c r="I11" t="s">
        <v>11</v>
      </c>
      <c r="M11" t="s">
        <v>12</v>
      </c>
      <c r="Q11" t="s">
        <v>13</v>
      </c>
    </row>
    <row r="14" spans="1:30" x14ac:dyDescent="0.2">
      <c r="A14" s="25" t="s">
        <v>39</v>
      </c>
      <c r="B14" s="26"/>
      <c r="C14" s="26"/>
      <c r="D14" s="26"/>
      <c r="E14" s="26"/>
      <c r="F14" s="26"/>
      <c r="G14" s="27"/>
    </row>
    <row r="15" spans="1:30" x14ac:dyDescent="0.2">
      <c r="A15" s="1" t="s">
        <v>1</v>
      </c>
      <c r="B15" s="4">
        <v>1</v>
      </c>
      <c r="C15" s="4">
        <v>2</v>
      </c>
      <c r="D15" s="4">
        <v>3</v>
      </c>
      <c r="E15" s="4">
        <v>4</v>
      </c>
      <c r="F15" s="4">
        <v>5</v>
      </c>
      <c r="G15" s="4">
        <v>6</v>
      </c>
      <c r="H15" s="9" t="s">
        <v>2</v>
      </c>
      <c r="I15" s="9" t="s">
        <v>3</v>
      </c>
    </row>
    <row r="16" spans="1:30" x14ac:dyDescent="0.2">
      <c r="A16" s="1" t="s">
        <v>4</v>
      </c>
      <c r="B16" s="1">
        <v>0.43</v>
      </c>
      <c r="C16" s="1">
        <v>0.38</v>
      </c>
      <c r="D16" s="1">
        <v>0.5</v>
      </c>
      <c r="E16" s="1">
        <v>0.43</v>
      </c>
      <c r="F16" s="1">
        <v>0.74</v>
      </c>
      <c r="G16" s="1">
        <v>0.39</v>
      </c>
      <c r="H16" s="5">
        <f t="shared" ref="H16:H21" si="2">AVERAGE(B16:G16)</f>
        <v>0.47833333333333333</v>
      </c>
      <c r="I16" s="5">
        <f t="shared" ref="I16:I21" si="3">STDEV(B16:G16)</f>
        <v>0.13496913227351873</v>
      </c>
    </row>
    <row r="17" spans="1:9" x14ac:dyDescent="0.2">
      <c r="A17" s="1" t="s">
        <v>5</v>
      </c>
      <c r="B17" s="1">
        <v>0.78300000000000003</v>
      </c>
      <c r="C17" s="1">
        <v>0.72</v>
      </c>
      <c r="D17" s="1">
        <v>0.72399999999999998</v>
      </c>
      <c r="E17" s="1">
        <v>0.77800000000000002</v>
      </c>
      <c r="F17" s="1">
        <v>0.87</v>
      </c>
      <c r="G17" s="1">
        <v>0.73299999999999998</v>
      </c>
      <c r="H17" s="5">
        <f t="shared" si="2"/>
        <v>0.76800000000000013</v>
      </c>
      <c r="I17" s="5">
        <f t="shared" si="3"/>
        <v>5.6910455981304536E-2</v>
      </c>
    </row>
    <row r="18" spans="1:9" x14ac:dyDescent="0.2">
      <c r="A18" s="1" t="s">
        <v>6</v>
      </c>
      <c r="B18" s="1">
        <v>0.30199999999999999</v>
      </c>
      <c r="C18" s="1">
        <v>0.19</v>
      </c>
      <c r="D18" s="1">
        <v>0.26700000000000002</v>
      </c>
      <c r="E18" s="1">
        <v>0.24299999999999999</v>
      </c>
      <c r="F18" s="1">
        <v>0.39400000000000002</v>
      </c>
      <c r="G18" s="1">
        <v>0.22600000000000001</v>
      </c>
      <c r="H18" s="5">
        <f t="shared" si="2"/>
        <v>0.27033333333333331</v>
      </c>
      <c r="I18" s="5">
        <f t="shared" si="3"/>
        <v>7.1376933715778954E-2</v>
      </c>
    </row>
    <row r="19" spans="1:9" x14ac:dyDescent="0.2">
      <c r="A19" s="1" t="s">
        <v>7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5">
        <f t="shared" si="2"/>
        <v>1</v>
      </c>
      <c r="I19" s="5">
        <f t="shared" si="3"/>
        <v>0</v>
      </c>
    </row>
    <row r="20" spans="1:9" x14ac:dyDescent="0.2">
      <c r="A20" s="1" t="s">
        <v>8</v>
      </c>
      <c r="B20" s="1">
        <v>0.17299999999999999</v>
      </c>
      <c r="C20" s="1">
        <v>0.61399999999999999</v>
      </c>
      <c r="D20" s="1">
        <v>0.36899999999999999</v>
      </c>
      <c r="E20" s="1">
        <v>0.29199999999999998</v>
      </c>
      <c r="F20" s="1">
        <v>0.13300000000000001</v>
      </c>
      <c r="G20" s="1">
        <v>0.216</v>
      </c>
      <c r="H20" s="5">
        <f t="shared" si="2"/>
        <v>0.29949999999999999</v>
      </c>
      <c r="I20" s="5">
        <f t="shared" si="3"/>
        <v>0.17578026055277085</v>
      </c>
    </row>
    <row r="21" spans="1:9" x14ac:dyDescent="0.2">
      <c r="A21" s="1" t="s">
        <v>9</v>
      </c>
      <c r="B21" s="1">
        <v>3.5000000000000003E-2</v>
      </c>
      <c r="C21" s="1">
        <v>0.16200000000000001</v>
      </c>
      <c r="D21" s="1">
        <v>0.14899999999999999</v>
      </c>
      <c r="E21" s="1">
        <v>5.5E-2</v>
      </c>
      <c r="F21" s="1">
        <v>0.156</v>
      </c>
      <c r="G21" s="1">
        <v>4.4999999999999998E-2</v>
      </c>
      <c r="H21" s="5">
        <f t="shared" si="2"/>
        <v>0.10033333333333333</v>
      </c>
      <c r="I21" s="5">
        <f t="shared" si="3"/>
        <v>6.1082457929152366E-2</v>
      </c>
    </row>
  </sheetData>
  <mergeCells count="2">
    <mergeCell ref="A3:AC3"/>
    <mergeCell ref="A14:G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B23"/>
  <sheetViews>
    <sheetView topLeftCell="A4" zoomScale="93" zoomScaleNormal="93" workbookViewId="0">
      <selection activeCell="D27" sqref="D27"/>
    </sheetView>
  </sheetViews>
  <sheetFormatPr baseColWidth="10" defaultRowHeight="15" x14ac:dyDescent="0.2"/>
  <cols>
    <col min="1" max="1" width="14.5" customWidth="1"/>
  </cols>
  <sheetData>
    <row r="2" spans="1:28" x14ac:dyDescent="0.2">
      <c r="A2" s="28" t="s">
        <v>40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7"/>
    </row>
    <row r="3" spans="1:28" x14ac:dyDescent="0.2">
      <c r="A3" s="1" t="s">
        <v>41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9" t="s">
        <v>2</v>
      </c>
    </row>
    <row r="4" spans="1:28" x14ac:dyDescent="0.2">
      <c r="A4" s="1" t="s">
        <v>4</v>
      </c>
      <c r="B4" s="1">
        <v>0.46</v>
      </c>
      <c r="C4" s="1">
        <v>0.38</v>
      </c>
      <c r="D4" s="1">
        <v>0.16</v>
      </c>
      <c r="E4" s="1">
        <v>0.36</v>
      </c>
      <c r="F4" s="1">
        <v>0.35</v>
      </c>
      <c r="G4" s="1">
        <v>0.48</v>
      </c>
      <c r="H4" s="1">
        <v>0.3</v>
      </c>
      <c r="I4" s="1">
        <v>0.39</v>
      </c>
      <c r="J4" s="1">
        <v>0.49</v>
      </c>
      <c r="K4" s="1">
        <v>0.44</v>
      </c>
      <c r="L4" s="1">
        <v>0.33</v>
      </c>
      <c r="M4" s="5">
        <f t="shared" ref="M4:M9" si="0">AVERAGE(B4:L4)</f>
        <v>0.37636363636363634</v>
      </c>
    </row>
    <row r="5" spans="1:28" x14ac:dyDescent="0.2">
      <c r="A5" s="1" t="s">
        <v>5</v>
      </c>
      <c r="B5" s="1">
        <v>0.52</v>
      </c>
      <c r="C5" s="1">
        <v>0.39700000000000002</v>
      </c>
      <c r="D5" s="1">
        <v>0.2</v>
      </c>
      <c r="E5" s="1">
        <v>0.43</v>
      </c>
      <c r="F5" s="1">
        <v>0.44</v>
      </c>
      <c r="G5" s="1">
        <v>0.59</v>
      </c>
      <c r="H5" s="1">
        <v>0.34</v>
      </c>
      <c r="I5" s="1">
        <v>0.45</v>
      </c>
      <c r="J5" s="1">
        <v>0.56799999999999995</v>
      </c>
      <c r="K5" s="1">
        <v>0.5</v>
      </c>
      <c r="L5" s="1">
        <v>0.38</v>
      </c>
      <c r="M5" s="5">
        <f t="shared" si="0"/>
        <v>0.43772727272727274</v>
      </c>
    </row>
    <row r="6" spans="1:28" x14ac:dyDescent="0.2">
      <c r="A6" s="1" t="s">
        <v>6</v>
      </c>
      <c r="B6" s="1">
        <v>0.17799999999999999</v>
      </c>
      <c r="C6" s="1">
        <v>0.129</v>
      </c>
      <c r="D6" s="1">
        <v>6.4000000000000001E-2</v>
      </c>
      <c r="E6" s="1">
        <v>0.13200000000000001</v>
      </c>
      <c r="F6" s="1">
        <v>0.13800000000000001</v>
      </c>
      <c r="G6" s="1">
        <v>0.20699999999999999</v>
      </c>
      <c r="H6" s="1">
        <v>0.111</v>
      </c>
      <c r="I6" s="1">
        <v>0.161</v>
      </c>
      <c r="J6" s="1">
        <v>0.22500000000000001</v>
      </c>
      <c r="K6" s="1">
        <v>0.19</v>
      </c>
      <c r="L6" s="1">
        <v>0.14000000000000001</v>
      </c>
      <c r="M6" s="5">
        <f t="shared" si="0"/>
        <v>0.15227272727272725</v>
      </c>
    </row>
    <row r="7" spans="1:28" x14ac:dyDescent="0.2">
      <c r="A7" s="1" t="s">
        <v>7</v>
      </c>
      <c r="B7" s="10">
        <v>0.95</v>
      </c>
      <c r="C7" s="1">
        <v>0.99</v>
      </c>
      <c r="D7" s="1">
        <v>0.85</v>
      </c>
      <c r="E7" s="1">
        <v>0.89</v>
      </c>
      <c r="F7" s="1">
        <v>0.96</v>
      </c>
      <c r="G7" s="1">
        <v>0.96</v>
      </c>
      <c r="H7" s="1">
        <v>0.93</v>
      </c>
      <c r="I7" s="1">
        <v>0.99</v>
      </c>
      <c r="J7" s="1">
        <v>0.98</v>
      </c>
      <c r="K7" s="1">
        <v>0.99</v>
      </c>
      <c r="L7" s="1">
        <v>0.94</v>
      </c>
      <c r="M7" s="5">
        <f t="shared" si="0"/>
        <v>0.94818181818181813</v>
      </c>
    </row>
    <row r="8" spans="1:28" x14ac:dyDescent="0.2">
      <c r="A8" s="1" t="s">
        <v>8</v>
      </c>
      <c r="B8" s="1">
        <v>0.80800000000000005</v>
      </c>
      <c r="C8" s="1">
        <v>0.57299999999999995</v>
      </c>
      <c r="D8" s="1">
        <v>0.40400000000000003</v>
      </c>
      <c r="E8" s="1">
        <v>0.995</v>
      </c>
      <c r="F8" s="1">
        <v>0.76200000000000001</v>
      </c>
      <c r="G8" s="1">
        <v>0.82199999999999995</v>
      </c>
      <c r="H8" s="1">
        <v>0.57399999999999995</v>
      </c>
      <c r="I8" s="1">
        <v>0.68</v>
      </c>
      <c r="J8" s="1">
        <v>0.81699999999999995</v>
      </c>
      <c r="K8" s="1">
        <v>0.69899999999999995</v>
      </c>
      <c r="L8" s="1">
        <v>0.59899999999999998</v>
      </c>
      <c r="M8" s="5">
        <f t="shared" si="0"/>
        <v>0.70299999999999996</v>
      </c>
    </row>
    <row r="9" spans="1:28" x14ac:dyDescent="0.2">
      <c r="A9" s="1" t="s">
        <v>9</v>
      </c>
      <c r="B9" s="1">
        <v>0.746</v>
      </c>
      <c r="C9" s="1">
        <v>0.53500000000000003</v>
      </c>
      <c r="D9" s="1">
        <v>0.23699999999999999</v>
      </c>
      <c r="E9" s="1">
        <v>0.92700000000000005</v>
      </c>
      <c r="F9" s="1">
        <v>0.69499999999999995</v>
      </c>
      <c r="G9" s="1">
        <v>0.77700000000000002</v>
      </c>
      <c r="H9" s="1">
        <v>0.47399999999999998</v>
      </c>
      <c r="I9" s="1">
        <v>0.6</v>
      </c>
      <c r="J9" s="1">
        <v>0.65500000000000003</v>
      </c>
      <c r="K9" s="1">
        <v>0.63600000000000001</v>
      </c>
      <c r="L9" s="1">
        <v>0.45900000000000002</v>
      </c>
      <c r="M9" s="5">
        <f t="shared" si="0"/>
        <v>0.61281818181818182</v>
      </c>
    </row>
    <row r="14" spans="1:28" x14ac:dyDescent="0.2">
      <c r="A14" s="28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</row>
    <row r="15" spans="1:28" x14ac:dyDescent="0.2">
      <c r="A15" s="1" t="s">
        <v>41</v>
      </c>
      <c r="B15" s="4">
        <v>1</v>
      </c>
      <c r="C15" s="4">
        <v>2</v>
      </c>
      <c r="D15" s="4">
        <v>3</v>
      </c>
      <c r="E15" s="4">
        <v>4</v>
      </c>
      <c r="F15" s="4">
        <v>5</v>
      </c>
      <c r="G15" s="4">
        <v>6</v>
      </c>
      <c r="H15" s="4">
        <v>7</v>
      </c>
      <c r="I15" s="4">
        <v>8</v>
      </c>
      <c r="J15" s="4">
        <v>9</v>
      </c>
      <c r="K15" s="4">
        <v>10</v>
      </c>
      <c r="L15" s="4">
        <v>11</v>
      </c>
      <c r="M15" s="4">
        <v>12</v>
      </c>
      <c r="N15" s="4">
        <v>13</v>
      </c>
      <c r="O15" s="4">
        <v>14</v>
      </c>
      <c r="P15" s="12">
        <v>15</v>
      </c>
      <c r="Q15" s="12">
        <v>16</v>
      </c>
      <c r="R15" s="12">
        <v>17</v>
      </c>
      <c r="S15" s="12">
        <v>18</v>
      </c>
      <c r="T15" s="12">
        <v>19</v>
      </c>
      <c r="U15" s="12">
        <v>20</v>
      </c>
      <c r="V15" s="12">
        <v>21</v>
      </c>
      <c r="W15" s="12">
        <v>22</v>
      </c>
      <c r="X15" s="12">
        <v>23</v>
      </c>
      <c r="Y15" s="12">
        <v>24</v>
      </c>
      <c r="Z15" s="12">
        <v>25</v>
      </c>
      <c r="AA15" s="4" t="s">
        <v>2</v>
      </c>
      <c r="AB15" s="4" t="s">
        <v>3</v>
      </c>
    </row>
    <row r="16" spans="1:28" x14ac:dyDescent="0.2">
      <c r="A16" s="1" t="s">
        <v>4</v>
      </c>
      <c r="B16" s="1">
        <v>0.39</v>
      </c>
      <c r="C16" s="1">
        <v>0.25</v>
      </c>
      <c r="D16" s="1">
        <v>0.36</v>
      </c>
      <c r="E16" s="1">
        <v>0.36</v>
      </c>
      <c r="F16" s="1">
        <v>0.28999999999999998</v>
      </c>
      <c r="G16" s="1">
        <v>0.36</v>
      </c>
      <c r="H16" s="1">
        <v>0.31</v>
      </c>
      <c r="I16" s="1">
        <v>0.42</v>
      </c>
      <c r="J16" s="1">
        <v>0.34</v>
      </c>
      <c r="K16" s="1">
        <v>0.27</v>
      </c>
      <c r="L16" s="1">
        <v>0.47</v>
      </c>
      <c r="M16" s="1">
        <v>0.38</v>
      </c>
      <c r="N16" s="1">
        <v>0.52</v>
      </c>
      <c r="O16" s="1">
        <v>0.4</v>
      </c>
      <c r="P16" s="13">
        <v>0.54</v>
      </c>
      <c r="Q16" s="13">
        <v>0.52</v>
      </c>
      <c r="R16" s="13">
        <v>0.47</v>
      </c>
      <c r="S16" s="13">
        <v>0.4</v>
      </c>
      <c r="T16" s="13">
        <v>0.55000000000000004</v>
      </c>
      <c r="U16" s="13">
        <v>0.57999999999999996</v>
      </c>
      <c r="V16" s="13">
        <v>0.5</v>
      </c>
      <c r="W16" s="13">
        <v>0.52</v>
      </c>
      <c r="X16" s="13">
        <v>0.57999999999999996</v>
      </c>
      <c r="Y16" s="13">
        <v>0.48</v>
      </c>
      <c r="Z16" s="13">
        <v>0.55000000000000004</v>
      </c>
      <c r="AA16" s="11">
        <f t="shared" ref="AA16:AA21" si="1">AVERAGE(B16:Z16)</f>
        <v>0.43240000000000001</v>
      </c>
      <c r="AB16" s="5">
        <f t="shared" ref="AB16:AB21" si="2">STDEV(B16:Z16)</f>
        <v>0.1003028746680108</v>
      </c>
    </row>
    <row r="17" spans="1:28" x14ac:dyDescent="0.2">
      <c r="A17" s="1" t="s">
        <v>5</v>
      </c>
      <c r="B17" s="1">
        <v>0.45</v>
      </c>
      <c r="C17" s="1">
        <v>0.27</v>
      </c>
      <c r="D17" s="1">
        <v>0.43</v>
      </c>
      <c r="E17" s="1">
        <v>0.44</v>
      </c>
      <c r="F17" s="1">
        <v>0.32</v>
      </c>
      <c r="G17" s="1">
        <v>0.41599999999999998</v>
      </c>
      <c r="H17" s="1">
        <v>0.34</v>
      </c>
      <c r="I17" s="1">
        <v>0.51</v>
      </c>
      <c r="J17" s="1">
        <v>0.4</v>
      </c>
      <c r="K17" s="1">
        <v>0.43</v>
      </c>
      <c r="L17" s="1">
        <v>0.56999999999999995</v>
      </c>
      <c r="M17" s="1">
        <v>0.49</v>
      </c>
      <c r="N17" s="1">
        <v>0.64</v>
      </c>
      <c r="O17" s="1">
        <v>0.5</v>
      </c>
      <c r="P17" s="13">
        <v>0.63</v>
      </c>
      <c r="Q17" s="13">
        <v>0.6</v>
      </c>
      <c r="R17" s="13">
        <v>0.53</v>
      </c>
      <c r="S17" s="13">
        <v>0.45</v>
      </c>
      <c r="T17" s="13">
        <v>0.63</v>
      </c>
      <c r="U17" s="13">
        <v>0.65</v>
      </c>
      <c r="V17" s="13">
        <v>0.55000000000000004</v>
      </c>
      <c r="W17" s="13">
        <v>0.6</v>
      </c>
      <c r="X17" s="13">
        <v>0.62</v>
      </c>
      <c r="Y17" s="13">
        <v>0.55000000000000004</v>
      </c>
      <c r="Z17" s="13">
        <v>0.62</v>
      </c>
      <c r="AA17" s="11">
        <f t="shared" si="1"/>
        <v>0.50544</v>
      </c>
      <c r="AB17" s="5">
        <f t="shared" si="2"/>
        <v>0.10826590722229541</v>
      </c>
    </row>
    <row r="18" spans="1:28" x14ac:dyDescent="0.2">
      <c r="A18" s="1" t="s">
        <v>6</v>
      </c>
      <c r="B18" s="1">
        <v>0.155</v>
      </c>
      <c r="C18" s="1">
        <v>0.10100000000000001</v>
      </c>
      <c r="D18" s="1">
        <v>0.157</v>
      </c>
      <c r="E18" s="1">
        <v>0.161</v>
      </c>
      <c r="F18" s="1">
        <v>0.111</v>
      </c>
      <c r="G18" s="1">
        <v>0.155</v>
      </c>
      <c r="H18" s="1">
        <v>0.13300000000000001</v>
      </c>
      <c r="I18" s="1">
        <v>0.192</v>
      </c>
      <c r="J18" s="1">
        <v>0.13700000000000001</v>
      </c>
      <c r="K18" s="1">
        <v>0.16300000000000001</v>
      </c>
      <c r="L18" s="1">
        <v>0.19800000000000001</v>
      </c>
      <c r="M18" s="1">
        <v>0.157</v>
      </c>
      <c r="N18" s="1">
        <v>0.24199999999999999</v>
      </c>
      <c r="O18" s="1">
        <v>0.16900000000000001</v>
      </c>
      <c r="P18" s="13">
        <v>0.22900000000000001</v>
      </c>
      <c r="Q18" s="13">
        <v>0.21299999999999999</v>
      </c>
      <c r="R18" s="13">
        <v>0.191</v>
      </c>
      <c r="S18" s="13">
        <v>0.16400000000000001</v>
      </c>
      <c r="T18" s="13">
        <v>0.23400000000000001</v>
      </c>
      <c r="U18" s="13">
        <v>0.25</v>
      </c>
      <c r="V18" s="13">
        <v>0.20499999999999999</v>
      </c>
      <c r="W18" s="13">
        <v>0.248</v>
      </c>
      <c r="X18" s="13">
        <v>0.245</v>
      </c>
      <c r="Y18" s="13">
        <v>0.188</v>
      </c>
      <c r="Z18" s="13">
        <v>0.25</v>
      </c>
      <c r="AA18" s="11">
        <f t="shared" si="1"/>
        <v>0.18592000000000003</v>
      </c>
      <c r="AB18" s="5">
        <f t="shared" si="2"/>
        <v>4.4579442197796276E-2</v>
      </c>
    </row>
    <row r="19" spans="1:28" x14ac:dyDescent="0.2">
      <c r="A19" s="1" t="s">
        <v>7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3">
        <v>1</v>
      </c>
      <c r="Q19" s="13">
        <v>1</v>
      </c>
      <c r="R19" s="13">
        <v>1</v>
      </c>
      <c r="S19" s="13">
        <v>1</v>
      </c>
      <c r="T19" s="13">
        <v>1</v>
      </c>
      <c r="U19" s="13">
        <v>1</v>
      </c>
      <c r="V19" s="13">
        <v>1</v>
      </c>
      <c r="W19" s="13">
        <v>1</v>
      </c>
      <c r="X19" s="13">
        <v>1</v>
      </c>
      <c r="Y19" s="13">
        <v>1</v>
      </c>
      <c r="Z19" s="13">
        <v>1</v>
      </c>
      <c r="AA19" s="11">
        <f t="shared" si="1"/>
        <v>1</v>
      </c>
      <c r="AB19" s="5">
        <f t="shared" si="2"/>
        <v>0</v>
      </c>
    </row>
    <row r="20" spans="1:28" x14ac:dyDescent="0.2">
      <c r="A20" s="1" t="s">
        <v>8</v>
      </c>
      <c r="B20" s="1">
        <v>0.60899999999999999</v>
      </c>
      <c r="C20" s="1">
        <v>0.52400000000000002</v>
      </c>
      <c r="D20" s="1">
        <v>0.59299999999999997</v>
      </c>
      <c r="E20" s="1">
        <v>0.73099999999999998</v>
      </c>
      <c r="F20" s="1">
        <v>0.57899999999999996</v>
      </c>
      <c r="G20" s="1">
        <v>0.60399999999999998</v>
      </c>
      <c r="H20" s="1">
        <v>0.60899999999999999</v>
      </c>
      <c r="I20" s="1">
        <v>0.79800000000000004</v>
      </c>
      <c r="J20" s="1">
        <v>0.60799999999999998</v>
      </c>
      <c r="K20" s="1">
        <v>0.64100000000000001</v>
      </c>
      <c r="L20" s="1">
        <v>0.77300000000000002</v>
      </c>
      <c r="M20" s="1">
        <v>0.749</v>
      </c>
      <c r="N20" s="1">
        <v>0.91500000000000004</v>
      </c>
      <c r="O20" s="1">
        <v>0.77900000000000003</v>
      </c>
      <c r="P20" s="13">
        <v>0.82599999999999996</v>
      </c>
      <c r="Q20" s="13">
        <v>0.748</v>
      </c>
      <c r="R20" s="13">
        <v>0.70499999999999996</v>
      </c>
      <c r="S20" s="13">
        <v>0.67200000000000004</v>
      </c>
      <c r="T20" s="13">
        <v>0.83099999999999996</v>
      </c>
      <c r="U20" s="13">
        <v>0.84899999999999998</v>
      </c>
      <c r="V20" s="13">
        <v>0.78</v>
      </c>
      <c r="W20" s="13">
        <v>0.77700000000000002</v>
      </c>
      <c r="X20" s="13">
        <v>0.83299999999999996</v>
      </c>
      <c r="Y20" s="13">
        <v>0.76400000000000001</v>
      </c>
      <c r="Z20" s="13">
        <v>0.84799999999999998</v>
      </c>
      <c r="AA20" s="11">
        <f t="shared" si="1"/>
        <v>0.72579999999999989</v>
      </c>
      <c r="AB20" s="5">
        <f t="shared" si="2"/>
        <v>0.1047373699625252</v>
      </c>
    </row>
    <row r="21" spans="1:28" x14ac:dyDescent="0.2">
      <c r="A21" s="1" t="s">
        <v>9</v>
      </c>
      <c r="B21" s="1">
        <v>0.63600000000000001</v>
      </c>
      <c r="C21" s="1">
        <v>0.29099999999999998</v>
      </c>
      <c r="D21" s="1">
        <v>0.60399999999999998</v>
      </c>
      <c r="E21" s="1">
        <v>0.60699999999999998</v>
      </c>
      <c r="F21" s="1">
        <v>0.34399999999999997</v>
      </c>
      <c r="G21" s="1">
        <v>0.46800000000000003</v>
      </c>
      <c r="H21" s="1">
        <v>0.39300000000000002</v>
      </c>
      <c r="I21" s="1">
        <v>0.63100000000000001</v>
      </c>
      <c r="J21" s="1">
        <v>0.44700000000000001</v>
      </c>
      <c r="K21" s="1">
        <v>0.53200000000000003</v>
      </c>
      <c r="L21" s="1">
        <v>0.80200000000000005</v>
      </c>
      <c r="M21" s="1">
        <v>0.69</v>
      </c>
      <c r="N21" s="1">
        <v>0.83899999999999997</v>
      </c>
      <c r="O21" s="1">
        <v>0.74299999999999999</v>
      </c>
      <c r="P21" s="13">
        <v>0.84499999999999997</v>
      </c>
      <c r="Q21" s="13">
        <v>0.81200000000000006</v>
      </c>
      <c r="R21" s="13">
        <v>0.76200000000000001</v>
      </c>
      <c r="S21" s="13">
        <v>0.60099999999999998</v>
      </c>
      <c r="T21" s="13">
        <v>0.80100000000000005</v>
      </c>
      <c r="U21" s="13">
        <v>0.80500000000000005</v>
      </c>
      <c r="V21" s="13">
        <v>0.74199999999999999</v>
      </c>
      <c r="W21" s="13">
        <v>0.68</v>
      </c>
      <c r="X21" s="13">
        <v>0.70499999999999996</v>
      </c>
      <c r="Y21" s="13">
        <v>0.73399999999999999</v>
      </c>
      <c r="Z21" s="13">
        <v>0.72399999999999998</v>
      </c>
      <c r="AA21" s="11">
        <f t="shared" si="1"/>
        <v>0.64951999999999999</v>
      </c>
      <c r="AB21" s="5">
        <f t="shared" si="2"/>
        <v>0.15829485146396946</v>
      </c>
    </row>
    <row r="23" spans="1:28" x14ac:dyDescent="0.2">
      <c r="B23" t="s">
        <v>43</v>
      </c>
      <c r="P23" t="s">
        <v>44</v>
      </c>
    </row>
  </sheetData>
  <mergeCells count="2">
    <mergeCell ref="A2:L2"/>
    <mergeCell ref="A14:AA14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B29"/>
  <sheetViews>
    <sheetView workbookViewId="0">
      <selection activeCell="N2" sqref="N2:Q2"/>
    </sheetView>
  </sheetViews>
  <sheetFormatPr baseColWidth="10" defaultRowHeight="15" x14ac:dyDescent="0.2"/>
  <cols>
    <col min="1" max="1" width="13.6640625" customWidth="1"/>
    <col min="6" max="6" width="13.33203125" customWidth="1"/>
    <col min="9" max="9" width="16.1640625" customWidth="1"/>
    <col min="13" max="13" width="9" customWidth="1"/>
    <col min="14" max="14" width="13.6640625" customWidth="1"/>
    <col min="22" max="22" width="13.5" customWidth="1"/>
  </cols>
  <sheetData>
    <row r="2" spans="1:28" x14ac:dyDescent="0.2">
      <c r="A2" s="25" t="s">
        <v>45</v>
      </c>
      <c r="B2" s="26"/>
      <c r="C2" s="26"/>
      <c r="D2" s="27"/>
      <c r="F2" s="25" t="s">
        <v>46</v>
      </c>
      <c r="G2" s="26"/>
      <c r="H2" s="26"/>
      <c r="I2" s="26"/>
      <c r="J2" s="26"/>
      <c r="K2" s="26"/>
      <c r="L2" s="27"/>
      <c r="N2" s="25" t="s">
        <v>47</v>
      </c>
      <c r="O2" s="26"/>
      <c r="P2" s="26"/>
      <c r="Q2" s="27"/>
      <c r="R2" s="17"/>
      <c r="S2" s="25" t="s">
        <v>48</v>
      </c>
      <c r="T2" s="26"/>
      <c r="U2" s="26"/>
      <c r="V2" s="26"/>
      <c r="W2" s="27"/>
      <c r="AA2" s="17"/>
      <c r="AB2" s="17"/>
    </row>
    <row r="3" spans="1:28" x14ac:dyDescent="0.2">
      <c r="A3" s="1" t="s">
        <v>1</v>
      </c>
      <c r="B3" s="4">
        <v>1</v>
      </c>
      <c r="C3" s="4">
        <v>2</v>
      </c>
      <c r="D3" s="1"/>
      <c r="F3" s="1" t="s">
        <v>1</v>
      </c>
      <c r="G3" s="4">
        <v>1</v>
      </c>
      <c r="H3" s="4">
        <v>2</v>
      </c>
      <c r="I3" s="1">
        <v>3</v>
      </c>
      <c r="J3" s="1">
        <v>4</v>
      </c>
      <c r="K3" s="1">
        <v>5</v>
      </c>
      <c r="L3" s="1">
        <v>6</v>
      </c>
      <c r="N3" s="1" t="s">
        <v>1</v>
      </c>
      <c r="O3" s="4">
        <v>1</v>
      </c>
      <c r="P3" s="4">
        <v>2</v>
      </c>
      <c r="Q3" s="1"/>
      <c r="S3" s="1" t="s">
        <v>1</v>
      </c>
      <c r="T3" s="4">
        <v>1</v>
      </c>
      <c r="U3" s="4">
        <v>2</v>
      </c>
      <c r="V3" s="1">
        <v>3</v>
      </c>
      <c r="W3" s="1"/>
    </row>
    <row r="4" spans="1:28" x14ac:dyDescent="0.2">
      <c r="A4" s="1" t="s">
        <v>4</v>
      </c>
      <c r="B4" s="1">
        <v>0.61</v>
      </c>
      <c r="C4" s="1">
        <v>0.71</v>
      </c>
      <c r="D4" s="1"/>
      <c r="F4" s="1" t="s">
        <v>4</v>
      </c>
      <c r="G4" s="1">
        <v>0.72</v>
      </c>
      <c r="H4" s="1">
        <v>0.7</v>
      </c>
      <c r="I4" s="1">
        <v>0.61</v>
      </c>
      <c r="J4" s="1">
        <v>0.75</v>
      </c>
      <c r="K4" s="1">
        <v>0.71</v>
      </c>
      <c r="L4" s="1">
        <v>0.66</v>
      </c>
      <c r="N4" s="1" t="s">
        <v>4</v>
      </c>
      <c r="O4" s="1">
        <v>0.69</v>
      </c>
      <c r="P4" s="1">
        <v>0.7</v>
      </c>
      <c r="Q4" s="1"/>
      <c r="S4" s="1" t="s">
        <v>4</v>
      </c>
      <c r="T4" s="1">
        <v>0.41</v>
      </c>
      <c r="U4" s="1">
        <v>0.57999999999999996</v>
      </c>
      <c r="V4" s="1">
        <v>0.55000000000000004</v>
      </c>
      <c r="W4" s="1"/>
    </row>
    <row r="5" spans="1:28" x14ac:dyDescent="0.2">
      <c r="A5" s="1" t="s">
        <v>5</v>
      </c>
      <c r="B5" s="1">
        <v>0.68</v>
      </c>
      <c r="C5" s="1">
        <v>0.77</v>
      </c>
      <c r="D5" s="1"/>
      <c r="F5" s="1" t="s">
        <v>5</v>
      </c>
      <c r="G5" s="1">
        <v>0.78500000000000003</v>
      </c>
      <c r="H5" s="1">
        <v>0.75600000000000001</v>
      </c>
      <c r="I5" s="1">
        <v>0.71</v>
      </c>
      <c r="J5" s="1">
        <v>0.79</v>
      </c>
      <c r="K5" s="1">
        <v>0.76</v>
      </c>
      <c r="L5" s="1">
        <v>0.69499999999999995</v>
      </c>
      <c r="N5" s="1" t="s">
        <v>5</v>
      </c>
      <c r="O5" s="1">
        <v>0.73699999999999999</v>
      </c>
      <c r="P5" s="1">
        <v>0.73699999999999999</v>
      </c>
      <c r="Q5" s="1"/>
      <c r="S5" s="1" t="s">
        <v>5</v>
      </c>
      <c r="T5" s="1">
        <v>0.71099999999999997</v>
      </c>
      <c r="U5" s="1">
        <v>0.61399999999999999</v>
      </c>
      <c r="V5" s="1">
        <v>0.59</v>
      </c>
      <c r="W5" s="1"/>
    </row>
    <row r="6" spans="1:28" x14ac:dyDescent="0.2">
      <c r="A6" s="1" t="s">
        <v>6</v>
      </c>
      <c r="B6" s="1">
        <v>0.26500000000000001</v>
      </c>
      <c r="C6" s="1">
        <v>0.29699999999999999</v>
      </c>
      <c r="D6" s="1"/>
      <c r="F6" s="1" t="s">
        <v>6</v>
      </c>
      <c r="G6" s="1">
        <v>0.32600000000000001</v>
      </c>
      <c r="H6" s="1">
        <v>0.30299999999999999</v>
      </c>
      <c r="I6" s="1">
        <v>0.28100000000000003</v>
      </c>
      <c r="J6" s="1">
        <v>0.32800000000000001</v>
      </c>
      <c r="K6" s="1">
        <v>0.30099999999999999</v>
      </c>
      <c r="L6" s="1">
        <v>0.28000000000000003</v>
      </c>
      <c r="N6" s="1" t="s">
        <v>6</v>
      </c>
      <c r="O6" s="1">
        <v>0.3</v>
      </c>
      <c r="P6" s="1">
        <v>0.29799999999999999</v>
      </c>
      <c r="Q6" s="1"/>
      <c r="S6" s="1" t="s">
        <v>6</v>
      </c>
      <c r="T6" s="1">
        <v>0.29499999999999998</v>
      </c>
      <c r="U6" s="1">
        <v>0.24199999999999999</v>
      </c>
      <c r="V6" s="1">
        <v>0.22600000000000001</v>
      </c>
      <c r="W6" s="1"/>
    </row>
    <row r="7" spans="1:28" x14ac:dyDescent="0.2">
      <c r="A7" s="1" t="s">
        <v>7</v>
      </c>
      <c r="B7" s="1">
        <v>1</v>
      </c>
      <c r="C7" s="1">
        <v>1</v>
      </c>
      <c r="D7" s="1"/>
      <c r="F7" s="1" t="s">
        <v>7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N7" s="1" t="s">
        <v>7</v>
      </c>
      <c r="O7" s="1">
        <v>1</v>
      </c>
      <c r="P7" s="1">
        <v>1</v>
      </c>
      <c r="Q7" s="1"/>
      <c r="S7" s="1" t="s">
        <v>7</v>
      </c>
      <c r="T7" s="1">
        <v>1</v>
      </c>
      <c r="U7" s="1">
        <v>1</v>
      </c>
      <c r="V7" s="1">
        <v>1</v>
      </c>
      <c r="W7" s="1"/>
    </row>
    <row r="8" spans="1:28" x14ac:dyDescent="0.2">
      <c r="A8" s="1" t="s">
        <v>8</v>
      </c>
      <c r="B8" s="1">
        <v>0.84699999999999998</v>
      </c>
      <c r="C8" s="1">
        <v>0.91800000000000004</v>
      </c>
      <c r="D8" s="1"/>
      <c r="F8" s="1" t="s">
        <v>8</v>
      </c>
      <c r="G8" s="1">
        <v>0.94</v>
      </c>
      <c r="H8" s="1">
        <v>0.90100000000000002</v>
      </c>
      <c r="I8" s="1">
        <v>0.84499999999999997</v>
      </c>
      <c r="J8" s="1">
        <v>0.92500000000000004</v>
      </c>
      <c r="K8" s="1">
        <v>0.93600000000000005</v>
      </c>
      <c r="L8" s="1">
        <v>0.90900000000000003</v>
      </c>
      <c r="N8" s="1" t="s">
        <v>8</v>
      </c>
      <c r="O8" s="1">
        <v>0.88900000000000001</v>
      </c>
      <c r="P8" s="1">
        <v>0.94499999999999995</v>
      </c>
      <c r="Q8" s="1"/>
      <c r="S8" s="1" t="s">
        <v>8</v>
      </c>
      <c r="T8" s="1">
        <v>0.748</v>
      </c>
      <c r="U8" s="1">
        <v>0.92</v>
      </c>
      <c r="V8" s="1">
        <v>0.89300000000000002</v>
      </c>
      <c r="W8" s="1"/>
    </row>
    <row r="9" spans="1:28" x14ac:dyDescent="0.2">
      <c r="A9" s="1" t="s">
        <v>9</v>
      </c>
      <c r="B9" s="1">
        <v>0.85499999999999998</v>
      </c>
      <c r="C9" s="1">
        <v>0.91900000000000004</v>
      </c>
      <c r="D9" s="1"/>
      <c r="F9" s="1" t="s">
        <v>9</v>
      </c>
      <c r="G9" s="1">
        <v>0.90500000000000003</v>
      </c>
      <c r="H9" s="1">
        <v>0.88300000000000001</v>
      </c>
      <c r="I9" s="1">
        <v>0.81299999999999994</v>
      </c>
      <c r="J9" s="1">
        <v>0.91900000000000004</v>
      </c>
      <c r="K9" s="1">
        <v>0.92700000000000005</v>
      </c>
      <c r="L9" s="1">
        <v>0.88</v>
      </c>
      <c r="N9" s="1" t="s">
        <v>9</v>
      </c>
      <c r="O9" s="1">
        <v>0.90700000000000003</v>
      </c>
      <c r="P9" s="1">
        <v>0.93300000000000005</v>
      </c>
      <c r="Q9" s="1"/>
      <c r="S9" s="1" t="s">
        <v>9</v>
      </c>
      <c r="T9" s="1">
        <v>0.69899999999999995</v>
      </c>
      <c r="U9" s="1">
        <v>0.82199999999999995</v>
      </c>
      <c r="V9" s="1">
        <v>0.82599999999999996</v>
      </c>
      <c r="W9" s="1"/>
    </row>
    <row r="12" spans="1:28" x14ac:dyDescent="0.2">
      <c r="A12" s="25" t="s">
        <v>49</v>
      </c>
      <c r="B12" s="26"/>
      <c r="C12" s="26"/>
      <c r="D12" s="27"/>
      <c r="F12" s="25" t="s">
        <v>50</v>
      </c>
      <c r="G12" s="26"/>
      <c r="H12" s="26"/>
      <c r="I12" s="26"/>
      <c r="J12" s="26"/>
      <c r="K12" s="26"/>
      <c r="L12" s="27"/>
      <c r="N12" s="25" t="s">
        <v>51</v>
      </c>
      <c r="O12" s="26"/>
      <c r="P12" s="26"/>
      <c r="Q12" s="27"/>
      <c r="R12" s="17"/>
      <c r="S12" s="25" t="s">
        <v>52</v>
      </c>
      <c r="T12" s="26"/>
      <c r="U12" s="26"/>
      <c r="V12" s="26"/>
      <c r="W12" s="27"/>
      <c r="AA12" s="17"/>
      <c r="AB12" s="17"/>
    </row>
    <row r="13" spans="1:28" x14ac:dyDescent="0.2">
      <c r="A13" s="1" t="s">
        <v>1</v>
      </c>
      <c r="B13" s="4">
        <v>1</v>
      </c>
      <c r="C13" s="4">
        <v>2</v>
      </c>
      <c r="D13" s="1"/>
      <c r="F13" s="1" t="s">
        <v>1</v>
      </c>
      <c r="G13" s="4">
        <v>1</v>
      </c>
      <c r="H13" s="4">
        <v>2</v>
      </c>
      <c r="I13" s="1">
        <v>3</v>
      </c>
      <c r="J13" s="1">
        <v>4</v>
      </c>
      <c r="K13" s="1">
        <v>5</v>
      </c>
      <c r="L13" s="1">
        <v>6</v>
      </c>
      <c r="N13" s="1" t="s">
        <v>1</v>
      </c>
      <c r="O13" s="4">
        <v>1</v>
      </c>
      <c r="P13" s="4">
        <v>2</v>
      </c>
      <c r="Q13" s="1"/>
      <c r="S13" s="1" t="s">
        <v>1</v>
      </c>
      <c r="T13" s="4">
        <v>1</v>
      </c>
      <c r="U13" s="4">
        <v>2</v>
      </c>
      <c r="V13" s="1">
        <v>3</v>
      </c>
      <c r="W13" s="1"/>
    </row>
    <row r="14" spans="1:28" x14ac:dyDescent="0.2">
      <c r="A14" s="1" t="s">
        <v>4</v>
      </c>
      <c r="B14" s="1">
        <v>0.32</v>
      </c>
      <c r="C14" s="1">
        <v>0.26</v>
      </c>
      <c r="D14" s="1"/>
      <c r="F14" s="1" t="s">
        <v>4</v>
      </c>
      <c r="G14" s="1">
        <v>0.4</v>
      </c>
      <c r="H14" s="1">
        <v>0.18</v>
      </c>
      <c r="I14" s="1">
        <v>0.2</v>
      </c>
      <c r="J14" s="1">
        <v>0.34</v>
      </c>
      <c r="K14" s="1">
        <v>0.39</v>
      </c>
      <c r="L14" s="1">
        <v>0.24</v>
      </c>
      <c r="N14" s="1" t="s">
        <v>4</v>
      </c>
      <c r="O14" s="1">
        <v>0.32</v>
      </c>
      <c r="P14" s="1">
        <v>0.31</v>
      </c>
      <c r="Q14" s="1"/>
      <c r="S14" s="1" t="s">
        <v>4</v>
      </c>
      <c r="T14" s="1">
        <v>0.31</v>
      </c>
      <c r="U14" s="1">
        <v>0.17</v>
      </c>
      <c r="V14" s="1">
        <v>0.34</v>
      </c>
      <c r="W14" s="1"/>
    </row>
    <row r="15" spans="1:28" x14ac:dyDescent="0.2">
      <c r="A15" s="1" t="s">
        <v>5</v>
      </c>
      <c r="B15" s="1">
        <v>0.61</v>
      </c>
      <c r="C15" s="1">
        <v>0.56000000000000005</v>
      </c>
      <c r="D15" s="1"/>
      <c r="F15" s="1" t="s">
        <v>5</v>
      </c>
      <c r="G15" s="1">
        <v>0.66400000000000003</v>
      </c>
      <c r="H15" s="1">
        <v>0.55000000000000004</v>
      </c>
      <c r="I15" s="1">
        <v>0.56999999999999995</v>
      </c>
      <c r="J15" s="1">
        <v>0.61</v>
      </c>
      <c r="K15" s="1">
        <v>0.67</v>
      </c>
      <c r="L15" s="1">
        <v>0.55000000000000004</v>
      </c>
      <c r="N15" s="1" t="s">
        <v>5</v>
      </c>
      <c r="O15" s="1">
        <v>0.57999999999999996</v>
      </c>
      <c r="P15" s="1">
        <v>0.61499999999999999</v>
      </c>
      <c r="Q15" s="1"/>
      <c r="S15" s="1" t="s">
        <v>5</v>
      </c>
      <c r="T15" s="1">
        <v>0.7</v>
      </c>
      <c r="U15" s="1">
        <v>0.45</v>
      </c>
      <c r="V15" s="1">
        <v>0.54</v>
      </c>
      <c r="W15" s="1"/>
    </row>
    <row r="16" spans="1:28" x14ac:dyDescent="0.2">
      <c r="A16" s="1" t="s">
        <v>6</v>
      </c>
      <c r="B16" s="1">
        <v>0.21199999999999999</v>
      </c>
      <c r="C16" s="1">
        <v>0.16200000000000001</v>
      </c>
      <c r="D16" s="1"/>
      <c r="F16" s="1" t="s">
        <v>6</v>
      </c>
      <c r="G16" s="1">
        <v>0.224</v>
      </c>
      <c r="H16" s="1">
        <v>0.14899999999999999</v>
      </c>
      <c r="I16" s="1">
        <v>0.18</v>
      </c>
      <c r="J16" s="1">
        <v>0.19600000000000001</v>
      </c>
      <c r="K16" s="1">
        <v>0.23300000000000001</v>
      </c>
      <c r="L16" s="1">
        <v>0.14000000000000001</v>
      </c>
      <c r="N16" s="1" t="s">
        <v>6</v>
      </c>
      <c r="O16" s="1">
        <v>0.19</v>
      </c>
      <c r="P16" s="1">
        <v>0.16200000000000001</v>
      </c>
      <c r="Q16" s="1"/>
      <c r="S16" s="1" t="s">
        <v>6</v>
      </c>
      <c r="T16" s="1">
        <v>0.27600000000000002</v>
      </c>
      <c r="U16" s="1">
        <v>8.5999999999999993E-2</v>
      </c>
      <c r="V16" s="1">
        <v>0.17399999999999999</v>
      </c>
      <c r="W16" s="1"/>
    </row>
    <row r="17" spans="1:28" x14ac:dyDescent="0.2">
      <c r="A17" s="1" t="s">
        <v>7</v>
      </c>
      <c r="B17" s="1">
        <v>1</v>
      </c>
      <c r="C17" s="1">
        <v>1</v>
      </c>
      <c r="D17" s="1"/>
      <c r="F17" s="1" t="s">
        <v>7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N17" s="1" t="s">
        <v>7</v>
      </c>
      <c r="O17" s="1">
        <v>1</v>
      </c>
      <c r="P17" s="1">
        <v>1</v>
      </c>
      <c r="Q17" s="1"/>
      <c r="S17" s="1" t="s">
        <v>7</v>
      </c>
      <c r="T17" s="1">
        <v>1</v>
      </c>
      <c r="U17" s="1">
        <v>1</v>
      </c>
      <c r="V17" s="1">
        <v>1</v>
      </c>
      <c r="W17" s="1"/>
    </row>
    <row r="18" spans="1:28" x14ac:dyDescent="0.2">
      <c r="A18" s="1" t="s">
        <v>8</v>
      </c>
      <c r="B18" s="1">
        <v>0.50600000000000001</v>
      </c>
      <c r="C18" s="1">
        <v>0.39900000000000002</v>
      </c>
      <c r="D18" s="1"/>
      <c r="F18" s="1" t="s">
        <v>8</v>
      </c>
      <c r="G18" s="1">
        <v>0.375</v>
      </c>
      <c r="H18" s="1">
        <v>0.318</v>
      </c>
      <c r="I18" s="1">
        <v>0.40699999999999997</v>
      </c>
      <c r="J18" s="1">
        <v>0.28599999999999998</v>
      </c>
      <c r="K18" s="1">
        <v>0.38100000000000001</v>
      </c>
      <c r="L18" s="1">
        <v>0.67600000000000005</v>
      </c>
      <c r="N18" s="1" t="s">
        <v>8</v>
      </c>
      <c r="O18" s="1">
        <v>0.30399999999999999</v>
      </c>
      <c r="P18" s="1">
        <v>0.75800000000000001</v>
      </c>
      <c r="Q18" s="1"/>
      <c r="S18" s="1" t="s">
        <v>8</v>
      </c>
      <c r="T18" s="1">
        <v>0.88300000000000001</v>
      </c>
      <c r="U18" s="1">
        <v>0.42899999999999999</v>
      </c>
      <c r="V18" s="1">
        <v>0.42199999999999999</v>
      </c>
      <c r="W18" s="1"/>
    </row>
    <row r="19" spans="1:28" x14ac:dyDescent="0.2">
      <c r="A19" s="1" t="s">
        <v>9</v>
      </c>
      <c r="B19" s="1">
        <v>0.752</v>
      </c>
      <c r="C19" s="1">
        <v>0.70199999999999996</v>
      </c>
      <c r="D19" s="1"/>
      <c r="F19" s="1" t="s">
        <v>9</v>
      </c>
      <c r="G19" s="1">
        <v>0.63900000000000001</v>
      </c>
      <c r="H19" s="1">
        <v>0.67200000000000004</v>
      </c>
      <c r="I19" s="1">
        <v>0.70099999999999996</v>
      </c>
      <c r="J19" s="1">
        <v>0.56699999999999995</v>
      </c>
      <c r="K19" s="1">
        <v>0.64900000000000002</v>
      </c>
      <c r="L19" s="1">
        <v>0.70899999999999996</v>
      </c>
      <c r="N19" s="1" t="s">
        <v>9</v>
      </c>
      <c r="O19" s="1">
        <v>0.57699999999999996</v>
      </c>
      <c r="P19" s="1">
        <v>0.77300000000000002</v>
      </c>
      <c r="Q19" s="1"/>
      <c r="S19" s="1" t="s">
        <v>9</v>
      </c>
      <c r="T19" s="1">
        <v>0.81599999999999995</v>
      </c>
      <c r="U19" s="1">
        <v>0.65500000000000003</v>
      </c>
      <c r="V19" s="1">
        <v>0.67800000000000005</v>
      </c>
      <c r="W19" s="1"/>
    </row>
    <row r="22" spans="1:28" x14ac:dyDescent="0.2">
      <c r="A22" s="25" t="s">
        <v>53</v>
      </c>
      <c r="B22" s="26"/>
      <c r="C22" s="26"/>
      <c r="D22" s="27"/>
      <c r="F22" s="25" t="s">
        <v>54</v>
      </c>
      <c r="G22" s="26"/>
      <c r="H22" s="26"/>
      <c r="I22" s="26"/>
      <c r="J22" s="26"/>
      <c r="K22" s="26"/>
      <c r="L22" s="27"/>
      <c r="N22" s="25" t="s">
        <v>55</v>
      </c>
      <c r="O22" s="26"/>
      <c r="P22" s="26"/>
      <c r="Q22" s="27"/>
      <c r="R22" s="17"/>
      <c r="S22" s="25" t="s">
        <v>56</v>
      </c>
      <c r="T22" s="26"/>
      <c r="U22" s="26"/>
      <c r="V22" s="26"/>
      <c r="W22" s="27"/>
      <c r="AA22" s="17"/>
      <c r="AB22" s="17"/>
    </row>
    <row r="23" spans="1:28" x14ac:dyDescent="0.2">
      <c r="A23" s="1" t="s">
        <v>1</v>
      </c>
      <c r="B23" s="4">
        <v>1</v>
      </c>
      <c r="C23" s="4">
        <v>2</v>
      </c>
      <c r="D23" s="1"/>
      <c r="F23" s="1" t="s">
        <v>1</v>
      </c>
      <c r="G23" s="4">
        <v>1</v>
      </c>
      <c r="H23" s="4">
        <v>2</v>
      </c>
      <c r="I23" s="1">
        <v>3</v>
      </c>
      <c r="J23" s="1">
        <v>4</v>
      </c>
      <c r="K23" s="1">
        <v>5</v>
      </c>
      <c r="L23" s="1">
        <v>6</v>
      </c>
      <c r="N23" s="1" t="s">
        <v>1</v>
      </c>
      <c r="O23" s="4">
        <v>1</v>
      </c>
      <c r="P23" s="4">
        <v>2</v>
      </c>
      <c r="Q23" s="1"/>
      <c r="S23" s="1" t="s">
        <v>1</v>
      </c>
      <c r="T23" s="4">
        <v>1</v>
      </c>
      <c r="U23" s="4">
        <v>2</v>
      </c>
      <c r="V23" s="1">
        <v>3</v>
      </c>
      <c r="W23" s="1"/>
    </row>
    <row r="24" spans="1:28" x14ac:dyDescent="0.2">
      <c r="A24" s="1" t="s">
        <v>4</v>
      </c>
      <c r="B24" s="1">
        <v>0.6</v>
      </c>
      <c r="C24" s="1">
        <v>0.53</v>
      </c>
      <c r="D24" s="1"/>
      <c r="F24" s="1" t="s">
        <v>4</v>
      </c>
      <c r="G24" s="1">
        <v>0.61</v>
      </c>
      <c r="H24" s="1">
        <v>0.46</v>
      </c>
      <c r="I24" s="1">
        <v>0.47</v>
      </c>
      <c r="J24" s="1">
        <v>0.52</v>
      </c>
      <c r="K24" s="1">
        <v>0.55000000000000004</v>
      </c>
      <c r="L24" s="1">
        <v>0.51</v>
      </c>
      <c r="N24" s="1" t="s">
        <v>4</v>
      </c>
      <c r="O24" s="1">
        <v>0.53</v>
      </c>
      <c r="P24" s="1">
        <v>0.54</v>
      </c>
      <c r="Q24" s="1"/>
      <c r="S24" s="1" t="s">
        <v>4</v>
      </c>
      <c r="T24" s="1">
        <v>0.73</v>
      </c>
      <c r="U24" s="1">
        <v>0.44</v>
      </c>
      <c r="V24" s="1">
        <v>0.63</v>
      </c>
      <c r="W24" s="1"/>
    </row>
    <row r="25" spans="1:28" x14ac:dyDescent="0.2">
      <c r="A25" s="1" t="s">
        <v>5</v>
      </c>
      <c r="B25" s="1">
        <v>0.68</v>
      </c>
      <c r="C25" s="1">
        <v>0.626</v>
      </c>
      <c r="D25" s="1"/>
      <c r="F25" s="1" t="s">
        <v>5</v>
      </c>
      <c r="G25" s="1">
        <v>0.67</v>
      </c>
      <c r="H25" s="1">
        <v>0.56799999999999995</v>
      </c>
      <c r="I25" s="1">
        <v>0.6</v>
      </c>
      <c r="J25" s="1">
        <v>0.67</v>
      </c>
      <c r="K25" s="1">
        <v>0.7</v>
      </c>
      <c r="L25" s="1">
        <v>0.66600000000000004</v>
      </c>
      <c r="N25" s="1" t="s">
        <v>5</v>
      </c>
      <c r="O25" s="1">
        <v>0.57799999999999996</v>
      </c>
      <c r="P25" s="1">
        <v>0.66</v>
      </c>
      <c r="Q25" s="1"/>
      <c r="S25" s="1" t="s">
        <v>5</v>
      </c>
      <c r="T25" s="1">
        <v>0.79500000000000004</v>
      </c>
      <c r="U25" s="1">
        <v>0.52</v>
      </c>
      <c r="V25" s="1">
        <v>0.65600000000000003</v>
      </c>
      <c r="W25" s="1"/>
    </row>
    <row r="26" spans="1:28" x14ac:dyDescent="0.2">
      <c r="A26" s="1" t="s">
        <v>6</v>
      </c>
      <c r="B26" s="1">
        <v>0.19400000000000001</v>
      </c>
      <c r="C26" s="1">
        <v>0.157</v>
      </c>
      <c r="D26" s="1"/>
      <c r="F26" s="1" t="s">
        <v>6</v>
      </c>
      <c r="G26" s="1">
        <v>0.186</v>
      </c>
      <c r="H26" s="1">
        <v>0.11700000000000001</v>
      </c>
      <c r="I26" s="1">
        <v>0.151</v>
      </c>
      <c r="J26" s="1">
        <v>0.16800000000000001</v>
      </c>
      <c r="K26" s="1">
        <v>0.21099999999999999</v>
      </c>
      <c r="L26" s="1">
        <v>0.155</v>
      </c>
      <c r="N26" s="1" t="s">
        <v>6</v>
      </c>
      <c r="O26" s="1">
        <v>0.156</v>
      </c>
      <c r="P26" s="1">
        <v>0.15</v>
      </c>
      <c r="Q26" s="1"/>
      <c r="S26" s="1" t="s">
        <v>6</v>
      </c>
      <c r="T26" s="1">
        <v>0.26800000000000002</v>
      </c>
      <c r="U26" s="1">
        <v>8.5999999999999993E-2</v>
      </c>
      <c r="V26" s="1">
        <v>0.185</v>
      </c>
      <c r="W26" s="1"/>
    </row>
    <row r="27" spans="1:28" x14ac:dyDescent="0.2">
      <c r="A27" s="1" t="s">
        <v>7</v>
      </c>
      <c r="B27" s="1">
        <v>1</v>
      </c>
      <c r="C27" s="1">
        <v>1</v>
      </c>
      <c r="D27" s="1"/>
      <c r="F27" s="1" t="s">
        <v>7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N27" s="1" t="s">
        <v>7</v>
      </c>
      <c r="O27" s="1">
        <v>1</v>
      </c>
      <c r="P27" s="1">
        <v>1</v>
      </c>
      <c r="Q27" s="1"/>
      <c r="S27" s="1" t="s">
        <v>7</v>
      </c>
      <c r="T27" s="1">
        <v>1</v>
      </c>
      <c r="U27" s="1">
        <v>1</v>
      </c>
      <c r="V27" s="1">
        <v>1</v>
      </c>
      <c r="W27" s="1"/>
    </row>
    <row r="28" spans="1:28" x14ac:dyDescent="0.2">
      <c r="A28" s="1" t="s">
        <v>8</v>
      </c>
      <c r="B28" s="1">
        <v>0.47799999999999998</v>
      </c>
      <c r="C28" s="1">
        <v>0.498</v>
      </c>
      <c r="D28" s="1"/>
      <c r="F28" s="1" t="s">
        <v>8</v>
      </c>
      <c r="G28" s="1">
        <v>0.64</v>
      </c>
      <c r="H28" s="1">
        <v>0.54400000000000004</v>
      </c>
      <c r="I28" s="1">
        <v>0.17399999999999999</v>
      </c>
      <c r="J28" s="1">
        <v>0.25900000000000001</v>
      </c>
      <c r="K28" s="1">
        <v>0.32</v>
      </c>
      <c r="L28" s="1">
        <v>0.377</v>
      </c>
      <c r="N28" s="1" t="s">
        <v>8</v>
      </c>
      <c r="O28" s="1">
        <v>0.78500000000000003</v>
      </c>
      <c r="P28" s="1">
        <v>0.27400000000000002</v>
      </c>
      <c r="Q28" s="1"/>
      <c r="S28" s="1" t="s">
        <v>8</v>
      </c>
      <c r="T28" s="1">
        <v>0.311</v>
      </c>
      <c r="U28" s="1">
        <v>0.745</v>
      </c>
      <c r="V28" s="1">
        <v>0.61</v>
      </c>
      <c r="W28" s="1"/>
    </row>
    <row r="29" spans="1:28" x14ac:dyDescent="0.2">
      <c r="A29" s="1" t="s">
        <v>9</v>
      </c>
      <c r="B29" s="1">
        <v>0.17299999999999999</v>
      </c>
      <c r="C29" s="1">
        <v>0.16300000000000001</v>
      </c>
      <c r="D29" s="1"/>
      <c r="F29" s="1" t="s">
        <v>9</v>
      </c>
      <c r="G29" s="1">
        <v>0.29199999999999998</v>
      </c>
      <c r="H29" s="1">
        <v>0.16</v>
      </c>
      <c r="I29" s="1">
        <v>0.10199999999999999</v>
      </c>
      <c r="J29" s="1">
        <v>0.14599999999999999</v>
      </c>
      <c r="K29" s="1">
        <v>0.19700000000000001</v>
      </c>
      <c r="L29" s="1">
        <v>0.11799999999999999</v>
      </c>
      <c r="N29" s="1" t="s">
        <v>9</v>
      </c>
      <c r="O29" s="1">
        <v>0.64700000000000002</v>
      </c>
      <c r="P29" s="1">
        <v>9.8000000000000004E-2</v>
      </c>
      <c r="Q29" s="1"/>
      <c r="S29" s="1" t="s">
        <v>9</v>
      </c>
      <c r="T29" s="1">
        <v>0.17</v>
      </c>
      <c r="U29" s="1">
        <v>0.28899999999999998</v>
      </c>
      <c r="V29" s="1">
        <v>0.28999999999999998</v>
      </c>
      <c r="W29" s="1"/>
    </row>
  </sheetData>
  <mergeCells count="12">
    <mergeCell ref="F22:L22"/>
    <mergeCell ref="N22:Q22"/>
    <mergeCell ref="S2:W2"/>
    <mergeCell ref="A22:D22"/>
    <mergeCell ref="S12:W12"/>
    <mergeCell ref="A12:D12"/>
    <mergeCell ref="F2:L2"/>
    <mergeCell ref="N12:Q12"/>
    <mergeCell ref="F12:L12"/>
    <mergeCell ref="A2:D2"/>
    <mergeCell ref="N2:Q2"/>
    <mergeCell ref="S22:W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PER2vsSRSF3</vt:lpstr>
      <vt:lpstr>PER2vsSC35</vt:lpstr>
      <vt:lpstr>SC35vsSRSF3</vt:lpstr>
      <vt:lpstr>Nuclei-PER2-SRSF3mouse</vt:lpstr>
      <vt:lpstr>U2OS-HA-SRSF3-Mutants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Blanco Constanza</dc:creator>
  <cp:lastModifiedBy>Gricey</cp:lastModifiedBy>
  <dcterms:created xsi:type="dcterms:W3CDTF">2026-06-26T08:29:53Z</dcterms:created>
  <dcterms:modified xsi:type="dcterms:W3CDTF">2026-07-07T14:25:20Z</dcterms:modified>
</cp:coreProperties>
</file>